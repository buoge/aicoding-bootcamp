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buoge/Desktop/github/aicoding-bootcamp/w4/calendar-generate/"/>
    </mc:Choice>
  </mc:AlternateContent>
  <xr:revisionPtr revIDLastSave="0" documentId="13_ncr:1_{3C20EB2D-2F56-1F47-8859-0E5F6D37B2F9}" xr6:coauthVersionLast="47" xr6:coauthVersionMax="47" xr10:uidLastSave="{00000000-0000-0000-0000-000000000000}"/>
  <bookViews>
    <workbookView xWindow="-6380" yWindow="-27300" windowWidth="29080" windowHeight="18740" activeTab="16" xr2:uid="{00000000-000D-0000-FFFF-FFFF00000000}"/>
  </bookViews>
  <sheets>
    <sheet name="Definition of Milestones（2023）" sheetId="1" state="hidden" r:id="rId1"/>
    <sheet name="2024 Milestones" sheetId="2" state="hidden" r:id="rId2"/>
    <sheet name="6月迭代日历" sheetId="4" state="hidden" r:id="rId3"/>
    <sheet name="7月迭代日历" sheetId="5" state="hidden" r:id="rId4"/>
    <sheet name="8月迭代日历" sheetId="6" state="hidden" r:id="rId5"/>
    <sheet name="2024年1月" sheetId="7" state="hidden" r:id="rId6"/>
    <sheet name="2024年2月" sheetId="8" state="hidden" r:id="rId7"/>
    <sheet name="2024年3月" sheetId="9" state="hidden" r:id="rId8"/>
    <sheet name="2024年4月" sheetId="10" state="hidden" r:id="rId9"/>
    <sheet name="2024年5月" sheetId="11" state="hidden" r:id="rId10"/>
    <sheet name="2024年6月" sheetId="12" state="hidden" r:id="rId11"/>
    <sheet name="2024年7月" sheetId="13" state="hidden" r:id="rId12"/>
    <sheet name="2024年8月" sheetId="14" state="hidden" r:id="rId13"/>
    <sheet name="2024年9月 " sheetId="15" state="hidden" r:id="rId14"/>
    <sheet name="2024年10月 " sheetId="16" state="hidden" r:id="rId15"/>
    <sheet name="2024年11月" sheetId="18" state="hidden" r:id="rId16"/>
    <sheet name="2026-01" sheetId="20" r:id="rId17"/>
    <sheet name="2026-02" sheetId="34" r:id="rId18"/>
    <sheet name="2025-6(副本)" sheetId="25" state="hidden" r:id="rId19"/>
    <sheet name="2025-6(副本1)" sheetId="26" state="hidden" r:id="rId20"/>
    <sheet name="2025-6(副本2)" sheetId="27" state="hidden" r:id="rId21"/>
    <sheet name="2025-6(副本3)" sheetId="28" state="hidden" r:id="rId22"/>
    <sheet name="工作表1" sheetId="29" state="hidden" r:id="rId23"/>
    <sheet name="2024年9月 (2)" sheetId="30" state="hidden" r:id="rId24"/>
    <sheet name="2024年10月 (2)" sheetId="31" state="hidden" r:id="rId25"/>
    <sheet name="2024年11月 (2)" sheetId="32" state="hidden" r:id="rId26"/>
    <sheet name="2024年12月 (2)" sheetId="33" state="hidden" r:id="rId27"/>
  </sheets>
  <definedNames>
    <definedName name="_xlnm._FilterDatabase" localSheetId="16" hidden="1">'2026-01'!$B$2:$H$3</definedName>
    <definedName name="_xlnm._FilterDatabase" localSheetId="17" hidden="1">'2026-02'!$B$2:$H$3</definedName>
    <definedName name="notifyRange">'2024年4月'!$B$12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33" l="1"/>
  <c r="B1" i="32"/>
  <c r="B1" i="31"/>
  <c r="B1" i="30"/>
  <c r="B1" i="18"/>
  <c r="B1" i="16"/>
  <c r="B13" i="15"/>
  <c r="B1" i="15"/>
  <c r="B1" i="14"/>
  <c r="B1" i="13"/>
  <c r="B1" i="12"/>
  <c r="B1" i="11"/>
  <c r="B1" i="10"/>
  <c r="B1" i="9"/>
  <c r="B13" i="6"/>
  <c r="B1" i="6"/>
  <c r="B1" i="5"/>
  <c r="B13" i="4"/>
  <c r="B1" i="4"/>
</calcChain>
</file>

<file path=xl/sharedStrings.xml><?xml version="1.0" encoding="utf-8"?>
<sst xmlns="http://schemas.openxmlformats.org/spreadsheetml/2006/main" count="817" uniqueCount="354">
  <si>
    <t>六月</t>
  </si>
  <si>
    <t>星期一</t>
  </si>
  <si>
    <t>D6</t>
  </si>
  <si>
    <t>D8</t>
  </si>
  <si>
    <t>D9</t>
  </si>
  <si>
    <t>端午节假期</t>
  </si>
  <si>
    <t>D2</t>
  </si>
  <si>
    <t>D3</t>
  </si>
  <si>
    <t>D4</t>
  </si>
  <si>
    <t xml:space="preserve">D5                                                        </t>
  </si>
  <si>
    <t xml:space="preserve">D6                                                        </t>
  </si>
  <si>
    <t xml:space="preserve">D9                                                        </t>
  </si>
  <si>
    <t>D5</t>
  </si>
  <si>
    <t>五月</t>
  </si>
  <si>
    <t xml:space="preserve">迭代计划会                 D1            </t>
  </si>
  <si>
    <t xml:space="preserve">D2            </t>
  </si>
  <si>
    <t xml:space="preserve">D3           </t>
  </si>
  <si>
    <t xml:space="preserve">D5            </t>
  </si>
  <si>
    <t>D7</t>
  </si>
  <si>
    <t xml:space="preserve">D8                              </t>
  </si>
  <si>
    <t xml:space="preserve">迭代计划会                   D1    </t>
  </si>
  <si>
    <t xml:space="preserve">D2   </t>
  </si>
  <si>
    <t xml:space="preserve">D5                               </t>
  </si>
  <si>
    <t xml:space="preserve">补班                              D7 </t>
  </si>
  <si>
    <t xml:space="preserve">D10                             迭代演示会                   子任务拆分                   迭代总结会  </t>
  </si>
  <si>
    <t>七月</t>
  </si>
  <si>
    <t>星期二</t>
  </si>
  <si>
    <t>星期三</t>
  </si>
  <si>
    <t>星期四</t>
  </si>
  <si>
    <t>星期五</t>
  </si>
  <si>
    <t>星期六</t>
  </si>
  <si>
    <t>星期日</t>
  </si>
  <si>
    <t>D1 
ukpre 部署   
ukpre 产品走查
ukpre 系统测试 
ukpre UI 走查</t>
  </si>
  <si>
    <t xml:space="preserve">D2   
ukpre 产品走查
ukpre 系统测试   
ukpre UI 走查
       </t>
  </si>
  <si>
    <t xml:space="preserve">D3  
ukpre 产品走查
ukpre 系统测试   
ukpre UI 走查
       </t>
  </si>
  <si>
    <t xml:space="preserve">D4   
ukpre 产品走查
ukpre 系统测试   
ukpre UI 走查
</t>
  </si>
  <si>
    <t>D5 
走查问题收尾</t>
  </si>
  <si>
    <t xml:space="preserve">D7                      
UAT 部署
uat 测试
</t>
  </si>
  <si>
    <t>D1    
迭代计划会</t>
  </si>
  <si>
    <t xml:space="preserve">D3                                </t>
  </si>
  <si>
    <t>D7                            </t>
  </si>
  <si>
    <t>D10                          迭代演示会                子任务拆分                迭代总结会</t>
  </si>
  <si>
    <t xml:space="preserve">SP35-D1
迭代计划会                       </t>
  </si>
  <si>
    <t>D10
迭代演示会                子任务拆分                迭代总结会</t>
  </si>
  <si>
    <t>二月</t>
  </si>
  <si>
    <t xml:space="preserve">D10                             产品走查                 迭代演示会                   子任务拆分                                  </t>
  </si>
  <si>
    <t xml:space="preserve">集成测试                     D1    </t>
  </si>
  <si>
    <t>D2                                 集成测试</t>
  </si>
  <si>
    <t>补班                              D4                                                                                                             系统测试(UK-Pre)</t>
  </si>
  <si>
    <t>D5                             系统测试(UK-Pre)</t>
  </si>
  <si>
    <t>D6                               系统测试(UK-Pre)</t>
  </si>
  <si>
    <t>公司统一年假                                                       传卜，舒昕                    皑欣                              恭豪</t>
  </si>
  <si>
    <t>公司统一年假                     永涛，志慧                     四雯                               恭豪</t>
  </si>
  <si>
    <t>公司统一年假              鱼宁 李根；                  杨雪                                  恭豪</t>
  </si>
  <si>
    <t>2024春节假期                 传卜，舒昕                       杨雪                            恭豪</t>
  </si>
  <si>
    <t>春节假期                         邹斌，庆瑞                                                            皑欣                                 恭豪</t>
  </si>
  <si>
    <t>-</t>
  </si>
  <si>
    <t>春节假期                            伟伟，荣枫                    四雯                              恭豪</t>
  </si>
  <si>
    <t>春节假期                          传卜，舒昕                         胜宇                              恭豪</t>
  </si>
  <si>
    <t>春节假期                          牛鸽，志慧                     胜宇                            恭豪</t>
  </si>
  <si>
    <t>春节假期                          德翔，庆忠                           胜宇                              恭豪</t>
  </si>
  <si>
    <t>春节假期                         传卜，舒昕                         胜宇                                恭豪</t>
  </si>
  <si>
    <t>春节假期                           牛鸽，庆瑞                            胜宇                                恭豪</t>
  </si>
  <si>
    <t>补班                                                                                                                     D7</t>
  </si>
  <si>
    <t xml:space="preserve">D11                             迭代演示会                   子任务拆分                               </t>
  </si>
  <si>
    <t>十二月</t>
  </si>
  <si>
    <t>元旦假期</t>
  </si>
  <si>
    <t>九月</t>
  </si>
  <si>
    <t xml:space="preserve">SP37-D1
迭代计划会 </t>
  </si>
  <si>
    <t xml:space="preserve">D2
</t>
  </si>
  <si>
    <t>D4
初审共识</t>
  </si>
  <si>
    <t xml:space="preserve">D6
</t>
  </si>
  <si>
    <t>D8
1.SP38-预交底Backlog
2. 最终确认发版范围</t>
  </si>
  <si>
    <t>D9
详细交底</t>
  </si>
  <si>
    <t>D10
迭代演示会                
子任务拆分                
迭代总结会</t>
  </si>
  <si>
    <t>D2
1.ukpre 产品走查  
2.ukpre UI 走查
3. 走查问题共识
4.开发修复
5. 系统测试</t>
  </si>
  <si>
    <t>D3
1.ukpre 产品走查  
2.ukpre UI 走查
3. 走查问题共识
4.开发修复
5. 系统测试</t>
  </si>
  <si>
    <t>D5
1. ukpre 开发收尾
2. ukpre 走查验收  
3. ukpre 测试验证
4. document2.0 技术交底</t>
  </si>
  <si>
    <t xml:space="preserve">D6（上班）
1. ukpre 开发收尾
2. ukpre 走查验收  
3. ukpre 测试验证
</t>
  </si>
  <si>
    <t>中秋节</t>
  </si>
  <si>
    <t>中秋节
八月十五</t>
  </si>
  <si>
    <t>D10
1.子任务拆分              
2. 迭代总结会
3. UAT 测试验证</t>
  </si>
  <si>
    <t>D5（上班）</t>
  </si>
  <si>
    <t>十一月</t>
  </si>
  <si>
    <t xml:space="preserve">SP41-D1
迭代计划会 </t>
  </si>
  <si>
    <t>D4
初审共识-SP42</t>
  </si>
  <si>
    <t>D8
预交底Backlog-SP42</t>
  </si>
  <si>
    <t>D10
迭代演示会                
子任务拆分              
迭代总结会</t>
  </si>
  <si>
    <t xml:space="preserve">D7                                                    </t>
  </si>
  <si>
    <t>Gsite Product Strategy 2024 (first half)</t>
  </si>
  <si>
    <t>Strategy 1</t>
  </si>
  <si>
    <t>Content</t>
  </si>
  <si>
    <t>Description</t>
  </si>
  <si>
    <t>Subject</t>
  </si>
  <si>
    <t>Gsite-Asite Integration Phase 1</t>
  </si>
  <si>
    <t>Goal &amp; Value</t>
  </si>
  <si>
    <t>1. Provide user single sign-on so that Asite users can automatically log on Gsite</t>
  </si>
  <si>
    <t>2. Allow easy setup for user with Asite priviledge</t>
  </si>
  <si>
    <t>3. Seamless Data transmission between 2 systems</t>
  </si>
  <si>
    <t>Features</t>
  </si>
  <si>
    <t>1. User single sign-on</t>
  </si>
  <si>
    <t>2. File, exports, and data transmission between Gsite and Asite</t>
  </si>
  <si>
    <t>3. Access control single setup</t>
  </si>
  <si>
    <t>4. CDE+Gsite value function flow</t>
  </si>
  <si>
    <t>Priority</t>
  </si>
  <si>
    <t>High</t>
  </si>
  <si>
    <t>Strategy 2</t>
  </si>
  <si>
    <t>Gsite Tablet First Version</t>
  </si>
  <si>
    <t>1. Provide a Gsite tablet App to cover field related modules</t>
  </si>
  <si>
    <t>　</t>
  </si>
  <si>
    <t>2. Online/Offline mode to cover all site scenarios</t>
  </si>
  <si>
    <t>1. Tablet Issue management</t>
  </si>
  <si>
    <t>2. Tablet Gsite Album</t>
  </si>
  <si>
    <t>3. Tablet Drawings</t>
  </si>
  <si>
    <t>4. Tablet 2D-3D enabled field applications</t>
  </si>
  <si>
    <t>5. Online/Offline synchronisation</t>
  </si>
  <si>
    <t>Strategy 3</t>
  </si>
  <si>
    <t>Existing Module Value Upgrade</t>
  </si>
  <si>
    <t>1. Improve the coordination efficiency among stakeholders on the construction site, timely deal with issues, and track items with various statues</t>
  </si>
  <si>
    <t>2. Improve existing module with easy-to-use features</t>
  </si>
  <si>
    <t>3. Enterprise-level data import and export for users to reuse templates</t>
  </si>
  <si>
    <t>1. More flexible Access Control functions</t>
  </si>
  <si>
    <t>2. PDF OCR optimisation and hyperlinks</t>
  </si>
  <si>
    <t>3. Submittal Multi-party online collaborative markups</t>
  </si>
  <si>
    <t>4. 3D viewpoint label and markup optimisations</t>
  </si>
  <si>
    <t>5. Forms workflow enhancement</t>
  </si>
  <si>
    <t>6. Enterprise-level templates import and export</t>
  </si>
  <si>
    <t>7. PDF &amp; Model performance improvement</t>
  </si>
  <si>
    <t>8. Notification function optimisations</t>
  </si>
  <si>
    <t>9. Component Unifications (Filter, Archive, Reference, etc.)</t>
  </si>
  <si>
    <t>10. Part L Album updates</t>
  </si>
  <si>
    <t>11. Instant Message improved collaborative functions</t>
  </si>
  <si>
    <t>Strategy 4</t>
  </si>
  <si>
    <t>Implement Dashboard optimization for management level</t>
  </si>
  <si>
    <t>1.Implement the localized design of Dashboard to achieve friendly user experience</t>
  </si>
  <si>
    <t>2.Data organization can be customized according to different access levels with corresponding data analysis to provide insights</t>
  </si>
  <si>
    <t>3.Provide linkage between statistics and individual task details so that everything is traceable</t>
  </si>
  <si>
    <t>4.Support data integration with third party analytic tools, to provide more customizability and better transition.</t>
  </si>
  <si>
    <t>1.Issue Dashboard</t>
  </si>
  <si>
    <t>2.Inspection Completion Dashboard</t>
  </si>
  <si>
    <t>3.Site Diary Log Board</t>
  </si>
  <si>
    <t>4.RFI Dashboard</t>
  </si>
  <si>
    <t>5.Submittal Dashboard</t>
  </si>
  <si>
    <t>6.Task Board (To-do)</t>
  </si>
  <si>
    <t>7.Project/Personal Dashboard</t>
  </si>
  <si>
    <t>8.Enterprise Level Dashboard (Later Stage)</t>
  </si>
  <si>
    <t>9.Customizable Layout</t>
  </si>
  <si>
    <t>10. Chat message Entry</t>
  </si>
  <si>
    <t>11. Thrid Party Tool Entry Access</t>
  </si>
  <si>
    <t>四月</t>
  </si>
  <si>
    <t>八月</t>
  </si>
  <si>
    <t xml:space="preserve">迭代计划会                 D1 </t>
  </si>
  <si>
    <t xml:space="preserve">D3                                  UAT系统测试     </t>
  </si>
  <si>
    <t xml:space="preserve">D5                                  UAT系统测试     </t>
  </si>
  <si>
    <t xml:space="preserve">D6                                  UAT系统测试                   发版评审     </t>
  </si>
  <si>
    <t xml:space="preserve">D7                                  UK上线                              UK系统测试     </t>
  </si>
  <si>
    <t xml:space="preserve">D8                                UK系统测试     </t>
  </si>
  <si>
    <t xml:space="preserve">D8                                UK上线                              UK系统测试     </t>
  </si>
  <si>
    <t>D8                                UK系统测试                       UK发版完成</t>
  </si>
  <si>
    <t xml:space="preserve">D5                              </t>
  </si>
  <si>
    <t xml:space="preserve">D6                                     </t>
  </si>
  <si>
    <t xml:space="preserve">D7            </t>
  </si>
  <si>
    <t xml:space="preserve">D8                                    </t>
  </si>
  <si>
    <t>十月</t>
  </si>
  <si>
    <t>三月</t>
  </si>
  <si>
    <t>SP33-D1    
迭代计划会                   
平台统一app上架</t>
  </si>
  <si>
    <t xml:space="preserve">D2   
</t>
  </si>
  <si>
    <t>清明假期</t>
  </si>
  <si>
    <t>D6
产品走查</t>
  </si>
  <si>
    <t>D8                            产品走查</t>
  </si>
  <si>
    <t>D10                          产品走查                 集成测试                 </t>
  </si>
  <si>
    <t xml:space="preserve">系统测试(UK-Pre)
D1    </t>
  </si>
  <si>
    <t xml:space="preserve">D2   
系统测试(UK-Pre)
</t>
  </si>
  <si>
    <t xml:space="preserve">D3                                
UK上线测试 
</t>
  </si>
  <si>
    <t>D6
子任务拆分                </t>
  </si>
  <si>
    <t>劳动节假期</t>
  </si>
  <si>
    <t>SP39-D6
李恭豪
周胜宇
王舒昕</t>
  </si>
  <si>
    <t xml:space="preserve">国庆长假
李恭豪
周胜宇
程中亮
</t>
  </si>
  <si>
    <t>国庆长假
李恭豪
周胜宇
吴传卜</t>
  </si>
  <si>
    <t>国庆长假
李恭豪
康四雯
吴传卜</t>
  </si>
  <si>
    <t>国庆长假
李恭豪
康四雯
宋飞飞</t>
  </si>
  <si>
    <t>国庆长假
李恭豪
杨雪
宋飞飞</t>
  </si>
  <si>
    <t>国庆长假
李恭豪
余皑欣
王舒昕</t>
  </si>
  <si>
    <t>国庆长假
李恭豪
余皑欣
程中亮</t>
  </si>
  <si>
    <t>SP39-D7
李恭豪
杨雪
吴传卜</t>
  </si>
  <si>
    <t xml:space="preserve">D8
</t>
  </si>
  <si>
    <t xml:space="preserve">D9
SP40-预交底Backlog
</t>
  </si>
  <si>
    <t>D10
迭代演示会                
子任务拆分              
详细交底</t>
  </si>
  <si>
    <t>迭代间歇
- 迭代准备
-迭代总结会
- 迭代缓冲
- Q4 规划沟通</t>
  </si>
  <si>
    <t xml:space="preserve">SP40-D1
迭代计划会 </t>
  </si>
  <si>
    <t xml:space="preserve">D7
</t>
  </si>
  <si>
    <t>D8
预交底Backlog</t>
  </si>
  <si>
    <t>一月</t>
  </si>
  <si>
    <t xml:space="preserve">D10                             迭代演示会                   子任务拆分                   迭代总结会            </t>
  </si>
  <si>
    <t xml:space="preserve">D6                                </t>
  </si>
  <si>
    <t xml:space="preserve">D3                               </t>
  </si>
  <si>
    <t>D6                                产品走查</t>
  </si>
  <si>
    <t xml:space="preserve">公司统一年假                            </t>
  </si>
  <si>
    <t>2024春节假期</t>
  </si>
  <si>
    <t>春节假期</t>
  </si>
  <si>
    <t xml:space="preserve">SP35-D1
迭代计划会 </t>
  </si>
  <si>
    <t>D2                         </t>
  </si>
  <si>
    <t xml:space="preserve">D3                            </t>
  </si>
  <si>
    <t>D5                          </t>
  </si>
  <si>
    <t xml:space="preserve">D6    
</t>
  </si>
  <si>
    <t xml:space="preserve">D7   </t>
  </si>
  <si>
    <t>D9                           
详细交底</t>
  </si>
  <si>
    <t xml:space="preserve">SP36-D1 
迭代计划会 </t>
  </si>
  <si>
    <t>D2                            </t>
  </si>
  <si>
    <t xml:space="preserve">D3                           </t>
  </si>
  <si>
    <t xml:space="preserve">D5                          
</t>
  </si>
  <si>
    <t xml:space="preserve">D6    </t>
  </si>
  <si>
    <t xml:space="preserve">D3                            
</t>
  </si>
  <si>
    <t>补班                                                                                                                     D6</t>
  </si>
  <si>
    <t>New Gsite Roadmap 2023</t>
  </si>
  <si>
    <t>Release Ver.</t>
  </si>
  <si>
    <t>Planned Release Schedule</t>
  </si>
  <si>
    <t>Version Definition</t>
  </si>
  <si>
    <t>according to 2 team's productivity</t>
  </si>
  <si>
    <t>according to 3 team's productivity</t>
  </si>
  <si>
    <t>Goal and value</t>
  </si>
  <si>
    <t>Product strategy</t>
  </si>
  <si>
    <t>Main features</t>
  </si>
  <si>
    <t>Release v0.3</t>
  </si>
  <si>
    <t>2023/5/22(Completed at the end of No.2 Sprint)</t>
  </si>
  <si>
    <t xml:space="preserve">1. To provide more effective model interaction and presentation which improves user experience when navigating the models
</t>
  </si>
  <si>
    <t xml:space="preserve">Strategy 1：Design management and collaboration improvement based on upgraded drawing and BIM model capability 
</t>
  </si>
  <si>
    <t>2. Easy accessibility for the most current drawings and BIM models,for all stakeholders anytime and anywhere</t>
  </si>
  <si>
    <t>3. Drawing recognition and extraction to achieve easy-to-use upload/publish/manage drawing processes</t>
  </si>
  <si>
    <t>Release v0.5</t>
  </si>
  <si>
    <t>2023/7/3(Completed at the end of No.6 Sprint)</t>
  </si>
  <si>
    <t>2023/6/5(Completed at the end of No.4 Sprint)</t>
  </si>
  <si>
    <t xml:space="preserve">1. To enhance the ability to associate BIM model and drawings with collaboration items such as quality/safety issues, RFIs, etc., making design documents the central hub for information integration with visual assistance and clear tracking orientation
</t>
  </si>
  <si>
    <t>1、Drawing OCR and Extraction (Completed)
2、Drawing management per UK ISO 19650 (Completed)
3、Drawing linkage with RFIs (Completed)
4、2D-3D interconnection
5、2D-3D Linkage with Issues
6、Automatic drawing hyperlinks
7、2D-4D Linkage with RFIs
（Detail: Plan draft for 2 teams）</t>
  </si>
  <si>
    <t>2.Optimize current functions to improve the problem solving for client’s pain points in actual business scenarios</t>
  </si>
  <si>
    <t>Release  v1.0</t>
  </si>
  <si>
    <t>2023/9/11(Completed at the end of No.10 Sprint)</t>
  </si>
  <si>
    <t>2023/7/31(Completed at the end of No.7 Sprint)</t>
  </si>
  <si>
    <t>1.Improve the coordination efficiency among stakeholders on the construction site, timely deal with issues, and track items with various statues</t>
  </si>
  <si>
    <t xml:space="preserve">Strategy 3: Optimize on-site collaboration management functions
</t>
  </si>
  <si>
    <t>1、Site Diary
2、Drawing markup upgrades
3、RFI Various attachment choices
4、RFI mobile
5、Specification Automatic chapter recognition and extraction
6、Specification revision management
7、Specification linkage with other items
8、Instant Message - Voice call
9、Instant Message - Video call
（Detail: Plan draft for 2 teams）</t>
  </si>
  <si>
    <t>2.Linkage between collaboration items and drawing-model to provide clear visualization and orientation</t>
  </si>
  <si>
    <t>Release v1.5</t>
  </si>
  <si>
    <t>2023/10/16(Completed at the end of No.12 Sprint)</t>
  </si>
  <si>
    <t>2023/8/14(Completed at the end of No.8 Sprint)</t>
  </si>
  <si>
    <t xml:space="preserve">Strategy 2: Implement Dashboard optimization for management level
</t>
  </si>
  <si>
    <t>1、Project dashboard
2、Project quality problem statistical analysis
3、Project safety problem statistical analysis
4、Project progress analysis
（Detail: Plan draft for 2 teams）</t>
  </si>
  <si>
    <t>3.Provide linkage between statistics and individual issue details so that everything is traceable</t>
  </si>
  <si>
    <t>Release V2.0</t>
  </si>
  <si>
    <t>2023/12/25(Completed at the end of No.17 Sprint)</t>
  </si>
  <si>
    <t>1.Optimize current functions to improve the problem solving for client’s pain points in actual business scenarios</t>
  </si>
  <si>
    <t xml:space="preserve">Strategy 4: Improve and optimize the original Field, Progress and Track
Strategy 6: Provide highlights with promotional features
</t>
  </si>
  <si>
    <t>1、Checklists
2、Documents
3、AI
（Detail: Plan draft for 2 teams）</t>
  </si>
  <si>
    <t xml:space="preserve">2.Design new function points, open up business linkages between business aspects,  and increase the range of business functions   </t>
  </si>
  <si>
    <t>3. To comply with the UK local management standards and local document management regulations</t>
  </si>
  <si>
    <t>4. Enhance the publicity attraction which can be developed in future version if needed</t>
  </si>
  <si>
    <t xml:space="preserve">D5                                     </t>
  </si>
  <si>
    <t xml:space="preserve">D4                              </t>
  </si>
  <si>
    <t xml:space="preserve">D6                                  </t>
  </si>
  <si>
    <t xml:space="preserve">D7                                  系统测试 </t>
  </si>
  <si>
    <t xml:space="preserve">D8                               系统测试  </t>
  </si>
  <si>
    <t xml:space="preserve">D3                                  系统测试     </t>
  </si>
  <si>
    <t xml:space="preserve">D5                                  系统测试     </t>
  </si>
  <si>
    <t xml:space="preserve">D6                                  系统测试     </t>
  </si>
  <si>
    <r>
      <rPr>
        <sz val="11"/>
        <color rgb="FF000000"/>
        <rFont val="Arial"/>
        <family val="2"/>
      </rPr>
      <t xml:space="preserve">D7                                                      </t>
    </r>
    <r>
      <rPr>
        <b/>
        <i/>
        <sz val="11"/>
        <color rgb="FF000000"/>
        <rFont val="Arial"/>
        <family val="2"/>
      </rPr>
      <t>预交底Backlog-SP56</t>
    </r>
  </si>
  <si>
    <r>
      <rPr>
        <sz val="11"/>
        <color rgb="FF000000"/>
        <rFont val="Arial"/>
        <family val="2"/>
      </rPr>
      <t xml:space="preserve">SP55-D10                                         </t>
    </r>
    <r>
      <rPr>
        <sz val="11"/>
        <color rgb="FFFF0000"/>
        <rFont val="Arial"/>
        <family val="2"/>
      </rPr>
      <t>子任务拆分</t>
    </r>
    <r>
      <rPr>
        <sz val="11"/>
        <color rgb="FF000000"/>
        <rFont val="Arial"/>
        <family val="2"/>
      </rPr>
      <t xml:space="preserve">              
</t>
    </r>
    <r>
      <rPr>
        <sz val="11"/>
        <color rgb="FFC00000"/>
        <rFont val="Arial"/>
        <family val="2"/>
      </rPr>
      <t xml:space="preserve">迭代总结会     </t>
    </r>
  </si>
  <si>
    <r>
      <rPr>
        <b/>
        <sz val="11"/>
        <color rgb="FF000000"/>
        <rFont val="Arial"/>
        <family val="2"/>
      </rPr>
      <t>SP56</t>
    </r>
    <r>
      <rPr>
        <sz val="11"/>
        <color rgb="FF000000"/>
        <rFont val="Arial"/>
        <family val="2"/>
      </rPr>
      <t xml:space="preserve">- D1                                             【迭代目标？】                                                   </t>
    </r>
    <r>
      <rPr>
        <sz val="11"/>
        <color rgb="FFC00000"/>
        <rFont val="Arial"/>
        <family val="2"/>
      </rPr>
      <t>迭代计划会</t>
    </r>
  </si>
  <si>
    <r>
      <rPr>
        <sz val="11"/>
        <color rgb="FF000000"/>
        <rFont val="Arial"/>
        <family val="2"/>
      </rPr>
      <t xml:space="preserve">D7                                                      </t>
    </r>
    <r>
      <rPr>
        <b/>
        <i/>
        <sz val="11"/>
        <color rgb="FF000000"/>
        <rFont val="Arial"/>
        <family val="2"/>
      </rPr>
      <t>预交底Backlog-SP57</t>
    </r>
  </si>
  <si>
    <r>
      <rPr>
        <sz val="11"/>
        <color rgb="FF000000"/>
        <rFont val="Arial"/>
        <family val="2"/>
      </rPr>
      <t xml:space="preserve">D8                                                      </t>
    </r>
    <r>
      <rPr>
        <b/>
        <i/>
        <sz val="11"/>
        <color rgb="FF000000"/>
        <rFont val="Arial"/>
        <family val="2"/>
      </rPr>
      <t>详细交底-SP57</t>
    </r>
  </si>
  <si>
    <r>
      <rPr>
        <sz val="11"/>
        <color rgb="FF000000"/>
        <rFont val="Arial"/>
        <family val="2"/>
      </rPr>
      <t xml:space="preserve">SP56-D10                                         </t>
    </r>
    <r>
      <rPr>
        <sz val="11"/>
        <color rgb="FFFF0000"/>
        <rFont val="Arial"/>
        <family val="2"/>
      </rPr>
      <t>子任务拆分</t>
    </r>
    <r>
      <rPr>
        <sz val="11"/>
        <color rgb="FF000000"/>
        <rFont val="Arial"/>
        <family val="2"/>
      </rPr>
      <t xml:space="preserve">              
</t>
    </r>
    <r>
      <rPr>
        <sz val="11"/>
        <color rgb="FFC00000"/>
        <rFont val="Arial"/>
        <family val="2"/>
      </rPr>
      <t xml:space="preserve">迭代总结会  </t>
    </r>
  </si>
  <si>
    <r>
      <rPr>
        <b/>
        <sz val="11"/>
        <color rgb="FF000000"/>
        <rFont val="Arial"/>
        <family val="2"/>
      </rPr>
      <t>SP57</t>
    </r>
    <r>
      <rPr>
        <sz val="11"/>
        <color rgb="FF000000"/>
        <rFont val="Arial"/>
        <family val="2"/>
      </rPr>
      <t xml:space="preserve">- D1                                             【迭代目标？】                                                   </t>
    </r>
    <r>
      <rPr>
        <sz val="11"/>
        <color rgb="FFC00000"/>
        <rFont val="Arial"/>
        <family val="2"/>
      </rPr>
      <t>迭代计划会</t>
    </r>
  </si>
  <si>
    <r>
      <rPr>
        <sz val="11"/>
        <color rgb="FF000000"/>
        <rFont val="Arial"/>
        <family val="2"/>
      </rPr>
      <t xml:space="preserve">D7                                                      </t>
    </r>
    <r>
      <rPr>
        <b/>
        <i/>
        <sz val="11"/>
        <color rgb="FF000000"/>
        <rFont val="Arial"/>
        <family val="2"/>
      </rPr>
      <t>预交底Backlog-SP58</t>
    </r>
  </si>
  <si>
    <r>
      <rPr>
        <sz val="11"/>
        <color rgb="FF000000"/>
        <rFont val="Arial"/>
        <family val="2"/>
      </rPr>
      <t xml:space="preserve">D8                                                      </t>
    </r>
    <r>
      <rPr>
        <b/>
        <i/>
        <sz val="11"/>
        <color rgb="FF000000"/>
        <rFont val="Arial"/>
        <family val="2"/>
      </rPr>
      <t>详细交底-SP58</t>
    </r>
  </si>
  <si>
    <r>
      <rPr>
        <sz val="11"/>
        <color rgb="FF000000"/>
        <rFont val="Arial"/>
        <family val="2"/>
      </rPr>
      <t xml:space="preserve">SP57-D10                                         </t>
    </r>
    <r>
      <rPr>
        <sz val="11"/>
        <color rgb="FFFF0000"/>
        <rFont val="Arial"/>
        <family val="2"/>
      </rPr>
      <t>子任务拆分</t>
    </r>
    <r>
      <rPr>
        <sz val="11"/>
        <color rgb="FF000000"/>
        <rFont val="Arial"/>
        <family val="2"/>
      </rPr>
      <t xml:space="preserve">              
</t>
    </r>
    <r>
      <rPr>
        <sz val="11"/>
        <color rgb="FFC00000"/>
        <rFont val="Arial"/>
        <family val="2"/>
      </rPr>
      <t xml:space="preserve">迭代总结会  </t>
    </r>
  </si>
  <si>
    <r>
      <rPr>
        <b/>
        <sz val="11"/>
        <color rgb="FF000000"/>
        <rFont val="Arial"/>
        <family val="2"/>
      </rPr>
      <t>SP58</t>
    </r>
    <r>
      <rPr>
        <sz val="11"/>
        <color rgb="FF000000"/>
        <rFont val="Arial"/>
        <family val="2"/>
      </rPr>
      <t xml:space="preserve">- D1                                             【迭代目标？】                                                   </t>
    </r>
    <r>
      <rPr>
        <sz val="11"/>
        <color rgb="FFC00000"/>
        <rFont val="Arial"/>
        <family val="2"/>
      </rPr>
      <t>迭代计划会</t>
    </r>
  </si>
  <si>
    <r>
      <rPr>
        <sz val="12"/>
        <color theme="1"/>
        <rFont val="Microsoft YaHei UI"/>
        <family val="2"/>
        <charset val="134"/>
      </rPr>
      <t xml:space="preserve">D6                                </t>
    </r>
    <r>
      <rPr>
        <sz val="12"/>
        <color rgb="FF0070C0"/>
        <rFont val="Microsoft YaHei UI"/>
        <family val="2"/>
        <charset val="134"/>
      </rPr>
      <t>概设完成（评审通过）</t>
    </r>
  </si>
  <si>
    <r>
      <rPr>
        <sz val="12"/>
        <color theme="1"/>
        <rFont val="Microsoft YaHei UI"/>
        <family val="2"/>
        <charset val="134"/>
      </rPr>
      <t xml:space="preserve">D9                                </t>
    </r>
    <r>
      <rPr>
        <sz val="12"/>
        <color rgb="FF0070C0"/>
        <rFont val="Microsoft YaHei UI"/>
        <family val="2"/>
        <charset val="134"/>
      </rPr>
      <t xml:space="preserve">详设完成（评审通过）                                                                                                           </t>
    </r>
  </si>
  <si>
    <r>
      <rPr>
        <sz val="12"/>
        <color theme="1"/>
        <rFont val="Microsoft YaHei UI"/>
        <family val="2"/>
        <charset val="134"/>
      </rPr>
      <t xml:space="preserve">D10                             </t>
    </r>
    <r>
      <rPr>
        <b/>
        <i/>
        <sz val="12"/>
        <color rgb="FF0070C0"/>
        <rFont val="Microsoft YaHei UI"/>
        <family val="2"/>
        <charset val="134"/>
      </rPr>
      <t xml:space="preserve">预交底Backlog   </t>
    </r>
    <r>
      <rPr>
        <sz val="12"/>
        <color theme="1"/>
        <rFont val="Microsoft YaHei UI"/>
        <family val="2"/>
        <charset val="134"/>
      </rPr>
      <t xml:space="preserve">       迭代演示会                                                    </t>
    </r>
  </si>
  <si>
    <r>
      <rPr>
        <b/>
        <sz val="12"/>
        <color theme="1"/>
        <rFont val="Microsoft YaHei UI"/>
        <family val="2"/>
        <charset val="134"/>
      </rPr>
      <t>间歇</t>
    </r>
    <r>
      <rPr>
        <b/>
        <i/>
        <u/>
        <sz val="12"/>
        <color theme="0"/>
        <rFont val="Microsoft YaHei UI"/>
        <family val="2"/>
        <charset val="134"/>
      </rPr>
      <t xml:space="preserve">                              详细需求交底</t>
    </r>
    <r>
      <rPr>
        <sz val="12"/>
        <color theme="1"/>
        <rFont val="Microsoft YaHei UI"/>
        <family val="2"/>
        <charset val="134"/>
      </rPr>
      <t xml:space="preserve">                子任务拆分                    迭代总结会  </t>
    </r>
  </si>
  <si>
    <r>
      <rPr>
        <sz val="12"/>
        <color theme="1"/>
        <rFont val="Microsoft YaHei UI"/>
        <family val="2"/>
        <charset val="134"/>
      </rPr>
      <t xml:space="preserve">D4                                </t>
    </r>
    <r>
      <rPr>
        <sz val="12"/>
        <color rgb="FF0070C0"/>
        <rFont val="Microsoft YaHei UI"/>
        <family val="2"/>
        <charset val="134"/>
      </rPr>
      <t xml:space="preserve">概设完成（评审通过）                  </t>
    </r>
  </si>
  <si>
    <r>
      <rPr>
        <sz val="12"/>
        <color theme="1"/>
        <rFont val="Microsoft YaHei UI"/>
        <family val="2"/>
        <charset val="134"/>
      </rPr>
      <t xml:space="preserve">D8                               </t>
    </r>
    <r>
      <rPr>
        <sz val="12"/>
        <color rgb="FF0070C0"/>
        <rFont val="Microsoft YaHei UI"/>
        <family val="2"/>
        <charset val="134"/>
      </rPr>
      <t xml:space="preserve">详设完成（评审通过） </t>
    </r>
  </si>
  <si>
    <r>
      <rPr>
        <sz val="12"/>
        <color theme="1"/>
        <rFont val="Microsoft YaHei UI"/>
        <family val="2"/>
        <charset val="134"/>
      </rPr>
      <t xml:space="preserve">D9                               </t>
    </r>
    <r>
      <rPr>
        <b/>
        <i/>
        <sz val="12"/>
        <color rgb="FF0070C0"/>
        <rFont val="Microsoft YaHei UI"/>
        <family val="2"/>
        <charset val="134"/>
      </rPr>
      <t>预交底Backlog</t>
    </r>
    <r>
      <rPr>
        <b/>
        <i/>
        <u/>
        <sz val="12"/>
        <color theme="0"/>
        <rFont val="Microsoft YaHei UI"/>
        <family val="2"/>
        <charset val="134"/>
      </rPr>
      <t xml:space="preserve">             详细需求交底                                   </t>
    </r>
  </si>
  <si>
    <r>
      <rPr>
        <sz val="12"/>
        <color rgb="FF000000"/>
        <rFont val="Microsoft YaHei UI"/>
      </rPr>
      <t xml:space="preserve">D6 
uk 部署
uk 测试验证
</t>
    </r>
    <r>
      <rPr>
        <sz val="12"/>
        <color rgb="FF2972F4"/>
        <rFont val="Microsoft YaHei UI"/>
      </rPr>
      <t xml:space="preserve">初审共识 </t>
    </r>
    <r>
      <rPr>
        <b/>
        <sz val="12"/>
        <color rgb="FFDE3C36"/>
        <rFont val="Microsoft YaHei UI"/>
      </rPr>
      <t xml:space="preserve">
pad 离线模式发布</t>
    </r>
  </si>
  <si>
    <r>
      <rPr>
        <sz val="12"/>
        <color rgb="FF000000"/>
        <rFont val="Microsoft YaHei UI"/>
      </rPr>
      <t xml:space="preserve">D8  
</t>
    </r>
    <r>
      <rPr>
        <b/>
        <i/>
        <sz val="12"/>
        <color rgb="FF2972F4"/>
        <rFont val="Microsoft YaHei UI"/>
      </rPr>
      <t xml:space="preserve">预交底 Backlog
</t>
    </r>
  </si>
  <si>
    <r>
      <rPr>
        <sz val="12"/>
        <color rgb="FF000000"/>
        <rFont val="Microsoft YaHei UI"/>
      </rPr>
      <t>D9                           </t>
    </r>
    <r>
      <rPr>
        <sz val="12"/>
        <color rgb="FF0070C0"/>
        <rFont val="Microsoft YaHei UI"/>
      </rPr>
      <t xml:space="preserve">  </t>
    </r>
    <r>
      <rPr>
        <b/>
        <i/>
        <u/>
        <sz val="12"/>
        <color rgb="FF2972F4"/>
        <rFont val="Microsoft YaHei UI"/>
      </rPr>
      <t xml:space="preserve">需求交底
</t>
    </r>
  </si>
  <si>
    <r>
      <rPr>
        <sz val="12"/>
        <color rgb="FF000000"/>
        <rFont val="Microsoft YaHei UI"/>
      </rPr>
      <t xml:space="preserve">D10                          
</t>
    </r>
    <r>
      <rPr>
        <b/>
        <sz val="12"/>
        <color rgb="FF2972F4"/>
        <rFont val="Microsoft YaHei UI"/>
      </rPr>
      <t>迭代计划会</t>
    </r>
    <r>
      <rPr>
        <sz val="12"/>
        <color rgb="FF000000"/>
        <rFont val="Microsoft YaHei UI"/>
      </rPr>
      <t xml:space="preserve">
总结会</t>
    </r>
  </si>
  <si>
    <r>
      <rPr>
        <sz val="12"/>
        <color rgb="FF000000"/>
        <rFont val="Microsoft YaHei UI"/>
      </rPr>
      <t xml:space="preserve">D4                            
</t>
    </r>
    <r>
      <rPr>
        <b/>
        <sz val="12"/>
        <color rgb="FF2972F4"/>
        <rFont val="Microsoft YaHei UI"/>
      </rPr>
      <t>初审共识</t>
    </r>
  </si>
  <si>
    <r>
      <rPr>
        <sz val="12"/>
        <color rgb="FF000000"/>
        <rFont val="Microsoft YaHei UI"/>
      </rPr>
      <t xml:space="preserve">D8                            </t>
    </r>
    <r>
      <rPr>
        <b/>
        <i/>
        <sz val="12"/>
        <color rgb="FF2972F4"/>
        <rFont val="Microsoft YaHei UI"/>
      </rPr>
      <t>预交底 Backlog</t>
    </r>
  </si>
  <si>
    <r>
      <rPr>
        <sz val="12"/>
        <color rgb="FF000000"/>
        <rFont val="Microsoft YaHei UI"/>
      </rPr>
      <t>D9                           </t>
    </r>
    <r>
      <rPr>
        <sz val="12"/>
        <color rgb="FF0070C0"/>
        <rFont val="Microsoft YaHei UI"/>
      </rPr>
      <t xml:space="preserve">  </t>
    </r>
    <r>
      <rPr>
        <b/>
        <i/>
        <u/>
        <sz val="12"/>
        <color rgb="FFFFFFFF"/>
        <rFont val="Microsoft YaHei UI"/>
      </rPr>
      <t>详细需求交底</t>
    </r>
  </si>
  <si>
    <r>
      <rPr>
        <sz val="12"/>
        <color rgb="FF000000"/>
        <rFont val="Microsoft YaHei UI"/>
      </rPr>
      <t>D4                            </t>
    </r>
    <r>
      <rPr>
        <b/>
        <i/>
        <sz val="12"/>
        <color rgb="FF0070C0"/>
        <rFont val="Microsoft YaHei UI"/>
      </rPr>
      <t>初审共识</t>
    </r>
  </si>
  <si>
    <r>
      <rPr>
        <sz val="12"/>
        <color rgb="FF000000"/>
        <rFont val="Microsoft YaHei UI"/>
      </rPr>
      <t xml:space="preserve">D8
</t>
    </r>
    <r>
      <rPr>
        <sz val="12"/>
        <color rgb="FF2972F4"/>
        <rFont val="Microsoft YaHei UI"/>
      </rPr>
      <t>预交底Backlog</t>
    </r>
  </si>
  <si>
    <r>
      <rPr>
        <sz val="12"/>
        <color rgb="FF000000"/>
        <rFont val="Microsoft YaHei UI"/>
      </rPr>
      <t xml:space="preserve">D9                                         </t>
    </r>
    <r>
      <rPr>
        <b/>
        <i/>
        <u/>
        <sz val="12"/>
        <color rgb="FFFFFFFF"/>
        <rFont val="Microsoft YaHei UI"/>
      </rPr>
      <t>详细需求交底</t>
    </r>
    <r>
      <rPr>
        <sz val="12"/>
        <color rgb="FF000000"/>
        <rFont val="Microsoft YaHei UI"/>
      </rPr>
      <t xml:space="preserve">                                    产品走查</t>
    </r>
  </si>
  <si>
    <r>
      <rPr>
        <sz val="12"/>
        <color rgb="FF000000"/>
        <rFont val="Microsoft YaHei UI"/>
      </rPr>
      <t xml:space="preserve">D3                               </t>
    </r>
    <r>
      <rPr>
        <b/>
        <i/>
        <sz val="12"/>
        <color rgb="FF0070C0"/>
        <rFont val="Microsoft YaHei UI"/>
      </rPr>
      <t xml:space="preserve">初审共识                      </t>
    </r>
    <r>
      <rPr>
        <sz val="12"/>
        <color rgb="FF000000"/>
        <rFont val="Microsoft YaHei UI"/>
      </rPr>
      <t>集成测试</t>
    </r>
  </si>
  <si>
    <r>
      <rPr>
        <sz val="12"/>
        <color rgb="FF000000"/>
        <rFont val="Microsoft YaHei UI"/>
      </rPr>
      <t xml:space="preserve">D8                              UK上线测试                   </t>
    </r>
    <r>
      <rPr>
        <sz val="12"/>
        <color rgb="FF2972F4"/>
        <rFont val="Microsoft YaHei UI"/>
      </rPr>
      <t xml:space="preserve">详设完成（评审通过） </t>
    </r>
  </si>
  <si>
    <r>
      <rPr>
        <sz val="12"/>
        <color rgb="FF000000"/>
        <rFont val="Microsoft YaHei UI"/>
      </rPr>
      <t xml:space="preserve">D9                              </t>
    </r>
    <r>
      <rPr>
        <sz val="12"/>
        <color rgb="FF000000"/>
        <rFont val="Microsoft YaHei UI"/>
      </rPr>
      <t xml:space="preserve">   UK上线测试</t>
    </r>
  </si>
  <si>
    <r>
      <rPr>
        <sz val="12"/>
        <color rgb="FF000000"/>
        <rFont val="Microsoft YaHei UI"/>
      </rPr>
      <t xml:space="preserve">D10                          </t>
    </r>
    <r>
      <rPr>
        <b/>
        <i/>
        <sz val="12"/>
        <color rgb="FF2972F4"/>
        <rFont val="Microsoft YaHei UI"/>
      </rPr>
      <t>预交底Backlog</t>
    </r>
    <r>
      <rPr>
        <b/>
        <i/>
        <u/>
        <sz val="12"/>
        <color rgb="FFFFFFFF"/>
        <rFont val="Microsoft YaHei UI"/>
      </rPr>
      <t xml:space="preserve">                详细需求交底                                   </t>
    </r>
  </si>
  <si>
    <r>
      <rPr>
        <b/>
        <sz val="12"/>
        <color rgb="FF000000"/>
        <rFont val="Microsoft YaHei UI"/>
      </rPr>
      <t xml:space="preserve">迭代间歇                    </t>
    </r>
    <r>
      <rPr>
        <sz val="12"/>
        <color rgb="FF000000"/>
        <rFont val="Microsoft YaHei UI"/>
      </rPr>
      <t>迭代总结会</t>
    </r>
  </si>
  <si>
    <r>
      <rPr>
        <b/>
        <sz val="11"/>
        <color rgb="FF000000"/>
        <rFont val="Arial"/>
        <family val="2"/>
      </rPr>
      <t>SP43-技术任务+发版迭代</t>
    </r>
    <r>
      <rPr>
        <sz val="11"/>
        <color rgb="FF000000"/>
        <rFont val="Arial"/>
        <family val="2"/>
      </rPr>
      <t>-D1</t>
    </r>
    <r>
      <rPr>
        <sz val="11"/>
        <color rgb="FF000000"/>
        <rFont val="Arial"/>
        <family val="2"/>
      </rPr>
      <t xml:space="preserve">           【</t>
    </r>
    <r>
      <rPr>
        <u/>
        <sz val="11"/>
        <color rgb="FF267EF0"/>
        <rFont val="Arial"/>
        <family val="2"/>
      </rPr>
      <t xml:space="preserve"> 手机同源</t>
    </r>
    <r>
      <rPr>
        <sz val="11"/>
        <color rgb="FF000000"/>
        <rFont val="Arial"/>
        <family val="2"/>
      </rPr>
      <t>R1&amp;</t>
    </r>
    <r>
      <rPr>
        <u/>
        <sz val="11"/>
        <color rgb="FF267EF0"/>
        <rFont val="Arial"/>
        <family val="2"/>
      </rPr>
      <t xml:space="preserve"> 离线优化</t>
    </r>
    <r>
      <rPr>
        <sz val="11"/>
        <color rgb="FF000000"/>
        <rFont val="Arial"/>
        <family val="2"/>
      </rPr>
      <t>v1.2</t>
    </r>
    <r>
      <rPr>
        <sz val="11"/>
        <color rgb="FF000000"/>
        <rFont val="Arial"/>
        <family val="2"/>
      </rPr>
      <t xml:space="preserve"> +</t>
    </r>
    <r>
      <rPr>
        <u/>
        <sz val="11"/>
        <color rgb="FF267EF0"/>
        <rFont val="Arial"/>
        <family val="2"/>
      </rPr>
      <t xml:space="preserve">  平台升级1030 + Athena版本上线</t>
    </r>
    <r>
      <rPr>
        <sz val="11"/>
        <color rgb="FF000000"/>
        <rFont val="Arial"/>
        <family val="2"/>
      </rPr>
      <t>】</t>
    </r>
    <r>
      <rPr>
        <sz val="11"/>
        <color rgb="FFDE3C36"/>
        <rFont val="Arial"/>
        <family val="2"/>
      </rPr>
      <t xml:space="preserve">
迭代计划会</t>
    </r>
    <r>
      <rPr>
        <sz val="11"/>
        <color rgb="FF000000"/>
        <rFont val="Arial"/>
        <family val="2"/>
      </rPr>
      <t xml:space="preserve">    
0.</t>
    </r>
    <r>
      <rPr>
        <sz val="11"/>
        <color rgb="FF000000"/>
        <rFont val="Arial"/>
        <family val="2"/>
      </rPr>
      <t xml:space="preserve"> 确认部署完毕，通知大家走查</t>
    </r>
    <r>
      <rPr>
        <sz val="11"/>
        <color rgb="FF000000"/>
        <rFont val="Arial"/>
        <family val="2"/>
      </rPr>
      <t xml:space="preserve">                      
1.</t>
    </r>
    <r>
      <rPr>
        <sz val="11"/>
        <color rgb="FF000000"/>
        <rFont val="Arial"/>
        <family val="2"/>
      </rPr>
      <t xml:space="preserve"> UKPre</t>
    </r>
    <r>
      <rPr>
        <sz val="11"/>
        <color rgb="FF000000"/>
        <rFont val="Arial"/>
        <family val="2"/>
      </rPr>
      <t xml:space="preserve"> 产品走查</t>
    </r>
    <r>
      <rPr>
        <sz val="11"/>
        <color rgb="FF000000"/>
        <rFont val="Arial"/>
        <family val="2"/>
      </rPr>
      <t xml:space="preserve">           
2.</t>
    </r>
    <r>
      <rPr>
        <sz val="11"/>
        <color rgb="FF000000"/>
        <rFont val="Arial"/>
        <family val="2"/>
      </rPr>
      <t xml:space="preserve"> UKPre</t>
    </r>
    <r>
      <rPr>
        <sz val="11"/>
        <color rgb="FF000000"/>
        <rFont val="Arial"/>
        <family val="2"/>
      </rPr>
      <t xml:space="preserve"> UI走查</t>
    </r>
    <r>
      <rPr>
        <sz val="11"/>
        <color rgb="FF267EF0"/>
        <rFont val="Arial"/>
        <family val="2"/>
      </rPr>
      <t xml:space="preserve">      数据冲突 &amp; 离线同步处理--业务方案</t>
    </r>
  </si>
  <si>
    <r>
      <rPr>
        <sz val="11"/>
        <color rgb="FF000000"/>
        <rFont val="Arial"/>
        <family val="2"/>
      </rPr>
      <t xml:space="preserve">D2                                 
1.UKPre产品走查                         2.UKPre UI走查                           </t>
    </r>
    <r>
      <rPr>
        <sz val="11"/>
        <color rgb="FF2972F4"/>
        <rFont val="Arial"/>
        <family val="2"/>
      </rPr>
      <t>3.UKPre系统测试                            4.App提交审核，通过后暂不发布</t>
    </r>
  </si>
  <si>
    <r>
      <rPr>
        <sz val="11"/>
        <color rgb="FF000000"/>
        <rFont val="Arial"/>
        <family val="2"/>
      </rPr>
      <t xml:space="preserve">D3                                  
1. UKPre 产品走查           
2. UKPre UI走查                           </t>
    </r>
    <r>
      <rPr>
        <sz val="11"/>
        <color rgb="FF2972F4"/>
        <rFont val="Arial"/>
        <family val="2"/>
      </rPr>
      <t>3. UKPre系统测试</t>
    </r>
  </si>
  <si>
    <r>
      <rPr>
        <sz val="11"/>
        <color rgb="FF000000"/>
        <rFont val="Arial"/>
        <family val="2"/>
      </rPr>
      <t xml:space="preserve">D4
</t>
    </r>
    <r>
      <rPr>
        <b/>
        <i/>
        <sz val="11"/>
        <color rgb="FF000000"/>
        <rFont val="Arial"/>
        <family val="2"/>
      </rPr>
      <t>Gsite马来Soft Launch活动</t>
    </r>
    <r>
      <rPr>
        <sz val="11"/>
        <color rgb="FF000000"/>
        <rFont val="Arial"/>
        <family val="2"/>
      </rPr>
      <t xml:space="preserve">
1. UKPre 产品走查           
2. UKPre UI走查   </t>
    </r>
    <r>
      <rPr>
        <sz val="11"/>
        <color rgb="FF2972F4"/>
        <rFont val="Arial"/>
        <family val="2"/>
      </rPr>
      <t xml:space="preserve">                        3. UKPre系统测试   </t>
    </r>
  </si>
  <si>
    <r>
      <rPr>
        <sz val="11"/>
        <color rgb="FF000000"/>
        <rFont val="Arial"/>
        <family val="2"/>
      </rPr>
      <t xml:space="preserve">D5                               
1. UKPre 产品走查           
2. UKPre UI走查    </t>
    </r>
    <r>
      <rPr>
        <sz val="11"/>
        <color rgb="FF2972F4"/>
        <rFont val="Arial"/>
        <family val="2"/>
      </rPr>
      <t xml:space="preserve">                       3. UKPre系统测试                               </t>
    </r>
    <r>
      <rPr>
        <sz val="11"/>
        <color rgb="FF000000"/>
        <rFont val="Arial"/>
        <family val="2"/>
      </rPr>
      <t xml:space="preserve">
4. iOS 白牌开发完成（祁栋）</t>
    </r>
  </si>
  <si>
    <r>
      <rPr>
        <sz val="11"/>
        <color rgb="FF000000"/>
        <rFont val="Arial"/>
        <family val="2"/>
      </rPr>
      <t xml:space="preserve">D7                                 
</t>
    </r>
    <r>
      <rPr>
        <b/>
        <i/>
        <sz val="11"/>
        <color rgb="FF000000"/>
        <rFont val="Arial"/>
        <family val="2"/>
      </rPr>
      <t xml:space="preserve">预交底Backlog -SP44        </t>
    </r>
    <r>
      <rPr>
        <sz val="11"/>
        <color rgb="FF000000"/>
        <rFont val="Arial"/>
        <family val="2"/>
      </rPr>
      <t xml:space="preserve">               1. UKPre 产品走查（截止）           
2. UKPre UI走查（截止）                             </t>
    </r>
  </si>
  <si>
    <r>
      <rPr>
        <sz val="11"/>
        <color rgb="FF000000"/>
        <rFont val="Arial"/>
        <family val="2"/>
      </rPr>
      <t xml:space="preserve">D8                               
</t>
    </r>
    <r>
      <rPr>
        <b/>
        <i/>
        <sz val="11"/>
        <color rgb="FF000000"/>
        <rFont val="Arial"/>
        <family val="2"/>
      </rPr>
      <t>详细交底-SP44</t>
    </r>
  </si>
  <si>
    <r>
      <rPr>
        <sz val="12"/>
        <color rgb="FF000000"/>
        <rFont val="Microsoft YaHei UI"/>
      </rPr>
      <t xml:space="preserve">SP38-D1 ( </t>
    </r>
    <r>
      <rPr>
        <b/>
        <sz val="12"/>
        <color rgb="FFDE3C36"/>
        <rFont val="Microsoft YaHei UI"/>
      </rPr>
      <t>走查开始日</t>
    </r>
    <r>
      <rPr>
        <sz val="12"/>
        <color rgb="FF000000"/>
        <rFont val="Microsoft YaHei UI"/>
      </rPr>
      <t xml:space="preserve"> )
1.迭代计划会
2.UKPre 部署
3.产品走查
4. UI 走查  
5. 系统测试</t>
    </r>
  </si>
  <si>
    <r>
      <rPr>
        <sz val="12"/>
        <color rgb="FF000000"/>
        <rFont val="Microsoft YaHei UI"/>
      </rPr>
      <t>D4</t>
    </r>
    <r>
      <rPr>
        <b/>
        <sz val="12"/>
        <color rgb="FF000000"/>
        <rFont val="Microsoft YaHei UI"/>
      </rPr>
      <t>（</t>
    </r>
    <r>
      <rPr>
        <b/>
        <sz val="12"/>
        <color rgb="FFDE3C36"/>
        <rFont val="Microsoft YaHei UI"/>
      </rPr>
      <t>走查截止日</t>
    </r>
    <r>
      <rPr>
        <b/>
        <sz val="12"/>
        <color rgb="FF000000"/>
        <rFont val="Microsoft YaHei UI"/>
      </rPr>
      <t>）</t>
    </r>
    <r>
      <rPr>
        <sz val="12"/>
        <color rgb="FF000000"/>
        <rFont val="Microsoft YaHei UI"/>
      </rPr>
      <t xml:space="preserve">
1.ukpre 产品走查  
2.ukpre UI 走查 
3. 走查问题共识
4.开发修复
5. 系统测试
</t>
    </r>
    <r>
      <rPr>
        <b/>
        <sz val="12"/>
        <color rgb="FF2972F4"/>
        <rFont val="Microsoft YaHei UI"/>
      </rPr>
      <t>SP39-初审共识</t>
    </r>
  </si>
  <si>
    <r>
      <rPr>
        <sz val="12"/>
        <color rgb="FF000000"/>
        <rFont val="Microsoft YaHei UI"/>
      </rPr>
      <t xml:space="preserve">D7 </t>
    </r>
    <r>
      <rPr>
        <b/>
        <sz val="12"/>
        <color rgb="FF000000"/>
        <rFont val="Microsoft YaHei UI"/>
      </rPr>
      <t>（</t>
    </r>
    <r>
      <rPr>
        <b/>
        <sz val="12"/>
        <color rgb="FFDE3C36"/>
        <rFont val="Microsoft YaHei UI"/>
      </rPr>
      <t>封版日</t>
    </r>
    <r>
      <rPr>
        <b/>
        <sz val="12"/>
        <color rgb="FF000000"/>
        <rFont val="Microsoft YaHei UI"/>
      </rPr>
      <t xml:space="preserve">）  </t>
    </r>
    <r>
      <rPr>
        <sz val="12"/>
        <color rgb="FF000000"/>
        <rFont val="Microsoft YaHei UI"/>
      </rPr>
      <t xml:space="preserve">                            
1. ukpre 开发收尾
2. ukpre 走查验收  
3. ukpre 测试验证
4. UK 部署准备（代码合并，checklist 确认）</t>
    </r>
  </si>
  <si>
    <r>
      <rPr>
        <sz val="12"/>
        <color rgb="FF000000"/>
        <rFont val="Microsoft YaHei UI"/>
      </rPr>
      <t xml:space="preserve">D8 </t>
    </r>
    <r>
      <rPr>
        <b/>
        <sz val="12"/>
        <color rgb="FF000000"/>
        <rFont val="Microsoft YaHei UI"/>
      </rPr>
      <t>（</t>
    </r>
    <r>
      <rPr>
        <b/>
        <sz val="12"/>
        <color rgb="FFDE3C36"/>
        <rFont val="Microsoft YaHei UI"/>
      </rPr>
      <t>发版日 9 点-11 点</t>
    </r>
    <r>
      <rPr>
        <b/>
        <sz val="12"/>
        <color rgb="FF000000"/>
        <rFont val="Microsoft YaHei UI"/>
      </rPr>
      <t>）</t>
    </r>
    <r>
      <rPr>
        <sz val="12"/>
        <color rgb="FF000000"/>
        <rFont val="Microsoft YaHei UI"/>
      </rPr>
      <t xml:space="preserve"> 
1. UK-Gsite 部署上线
2. UK-Gsite 测试验证
3. </t>
    </r>
    <r>
      <rPr>
        <b/>
        <sz val="12"/>
        <color rgb="FF000000"/>
        <rFont val="Microsoft YaHei UI"/>
      </rPr>
      <t xml:space="preserve">UK-项管平台-830版本 部署
</t>
    </r>
  </si>
  <si>
    <r>
      <rPr>
        <sz val="12"/>
        <color rgb="FF000000"/>
        <rFont val="Microsoft YaHei UI"/>
      </rPr>
      <t xml:space="preserve">D9     
</t>
    </r>
    <r>
      <rPr>
        <sz val="12"/>
        <color rgb="FF2972F4"/>
        <rFont val="Microsoft YaHei UI"/>
      </rPr>
      <t>1.SP39-预交底Backlog </t>
    </r>
    <r>
      <rPr>
        <sz val="12"/>
        <color rgb="FF000000"/>
        <rFont val="Microsoft YaHei UI"/>
      </rPr>
      <t xml:space="preserve">
2. 详细交底
3. 发版观察反馈
4. UAT 合并部署测试验证</t>
    </r>
  </si>
  <si>
    <r>
      <rPr>
        <sz val="12"/>
        <color rgb="FF000000"/>
        <rFont val="Microsoft YaHei UI"/>
      </rPr>
      <t xml:space="preserve">SP39-D1
</t>
    </r>
    <r>
      <rPr>
        <sz val="12"/>
        <color rgb="FF2972F4"/>
        <rFont val="Microsoft YaHei UI"/>
      </rPr>
      <t xml:space="preserve">迭代计划会 </t>
    </r>
  </si>
  <si>
    <r>
      <rPr>
        <sz val="12"/>
        <color rgb="FF000000"/>
        <rFont val="Microsoft YaHei UI"/>
      </rPr>
      <t xml:space="preserve">D4
</t>
    </r>
    <r>
      <rPr>
        <sz val="12"/>
        <color rgb="FF2972F4"/>
        <rFont val="Microsoft YaHei UI"/>
      </rPr>
      <t>SP40-初审共识</t>
    </r>
  </si>
  <si>
    <r>
      <rPr>
        <b/>
        <sz val="11"/>
        <color rgb="FF000000"/>
        <rFont val="Arial"/>
        <family val="2"/>
      </rPr>
      <t>SP42</t>
    </r>
    <r>
      <rPr>
        <sz val="11"/>
        <color rgb="FF000000"/>
        <rFont val="Arial"/>
        <family val="2"/>
      </rPr>
      <t xml:space="preserve">-D1
</t>
    </r>
    <r>
      <rPr>
        <sz val="11"/>
        <color rgb="FFDE3C36"/>
        <rFont val="Arial"/>
        <family val="2"/>
      </rPr>
      <t xml:space="preserve">迭代计划会 </t>
    </r>
  </si>
  <si>
    <r>
      <rPr>
        <sz val="11"/>
        <color rgb="FF000000"/>
        <rFont val="Arial"/>
        <family val="2"/>
      </rPr>
      <t xml:space="preserve">D3
</t>
    </r>
    <r>
      <rPr>
        <sz val="11"/>
        <color rgb="FF2972F4"/>
        <rFont val="Arial"/>
        <family val="2"/>
      </rPr>
      <t>1. Test环境平台升级1030版本          2. Test环境平台合版验证</t>
    </r>
  </si>
  <si>
    <r>
      <rPr>
        <sz val="11"/>
        <color rgb="FF000000"/>
        <rFont val="Arial"/>
        <family val="2"/>
      </rPr>
      <t xml:space="preserve">D4
</t>
    </r>
    <r>
      <rPr>
        <sz val="11"/>
        <color rgb="FF2972F4"/>
        <rFont val="Arial"/>
        <family val="2"/>
      </rPr>
      <t xml:space="preserve">1. Test环境平台合版验证     </t>
    </r>
  </si>
  <si>
    <r>
      <rPr>
        <sz val="11"/>
        <color rgb="FF000000"/>
        <rFont val="Arial"/>
        <family val="2"/>
      </rPr>
      <t xml:space="preserve">D5                                                     </t>
    </r>
    <r>
      <rPr>
        <b/>
        <i/>
        <sz val="11"/>
        <color rgb="FF000000"/>
        <rFont val="Arial"/>
        <family val="2"/>
      </rPr>
      <t>初审共识-SP43+SP44</t>
    </r>
    <r>
      <rPr>
        <sz val="11"/>
        <color rgb="FF2972F4"/>
        <rFont val="Arial"/>
        <family val="2"/>
      </rPr>
      <t xml:space="preserve">
1. 集成平台-自定义首页按租户能够灵活配置发布到测试环境</t>
    </r>
  </si>
  <si>
    <r>
      <rPr>
        <sz val="11"/>
        <color rgb="FF000000"/>
        <rFont val="Arial"/>
        <family val="2"/>
      </rPr>
      <t xml:space="preserve">D6                             
</t>
    </r>
    <r>
      <rPr>
        <b/>
        <i/>
        <sz val="11"/>
        <color rgb="FF000000"/>
        <rFont val="Arial"/>
        <family val="2"/>
      </rPr>
      <t>需求评审 - SP43-44</t>
    </r>
  </si>
  <si>
    <r>
      <rPr>
        <sz val="11"/>
        <color rgb="FF000000"/>
        <rFont val="Arial"/>
        <family val="2"/>
      </rPr>
      <t xml:space="preserve">D8
</t>
    </r>
    <r>
      <rPr>
        <b/>
        <i/>
        <sz val="11"/>
        <color rgb="FF000000"/>
        <rFont val="Arial"/>
        <family val="2"/>
      </rPr>
      <t>预交底Backlog -SP43</t>
    </r>
    <r>
      <rPr>
        <sz val="11"/>
        <color rgb="FF2972F4"/>
        <rFont val="Arial"/>
        <family val="2"/>
      </rPr>
      <t xml:space="preserve">
1. 完成 checklist 准备（权限，菜单，sql，配置项）</t>
    </r>
    <r>
      <rPr>
        <sz val="11"/>
        <color rgb="FF2972F4"/>
        <rFont val="Arial"/>
        <family val="2"/>
      </rPr>
      <t xml:space="preserve">
2. 收集下个月平台需求并和对方预约沟通时间</t>
    </r>
  </si>
  <si>
    <r>
      <rPr>
        <sz val="11"/>
        <color rgb="FF000000"/>
        <rFont val="Arial"/>
        <family val="2"/>
      </rPr>
      <t xml:space="preserve">D9
</t>
    </r>
    <r>
      <rPr>
        <b/>
        <i/>
        <sz val="11"/>
        <color rgb="FF000000"/>
        <rFont val="Arial"/>
        <family val="2"/>
      </rPr>
      <t xml:space="preserve">详细交底 -SP43
                      </t>
    </r>
  </si>
  <si>
    <r>
      <rPr>
        <sz val="11"/>
        <color rgb="FF000000"/>
        <rFont val="Arial"/>
        <family val="2"/>
      </rPr>
      <t xml:space="preserve">D10
</t>
    </r>
    <r>
      <rPr>
        <b/>
        <i/>
        <sz val="11"/>
        <color rgb="FF2972F4"/>
        <rFont val="Arial"/>
        <family val="2"/>
      </rPr>
      <t>1.Gsite UKPre 代码合并&amp;部署</t>
    </r>
    <r>
      <rPr>
        <sz val="11"/>
        <color rgb="FF58110E"/>
        <rFont val="Arial"/>
        <family val="2"/>
      </rPr>
      <t xml:space="preserve">                     
子任务拆分                                  </t>
    </r>
    <r>
      <rPr>
        <sz val="11"/>
        <color rgb="FFDE3C36"/>
        <rFont val="Arial"/>
        <family val="2"/>
      </rPr>
      <t>迭代总结会</t>
    </r>
  </si>
  <si>
    <r>
      <rPr>
        <sz val="11"/>
        <color rgb="FF000000"/>
        <rFont val="Arial"/>
        <family val="2"/>
      </rPr>
      <t xml:space="preserve">D6
1. UKPre 产品走查           
2. UKPre UI走查                           </t>
    </r>
    <r>
      <rPr>
        <sz val="11"/>
        <color rgb="FF2972F4"/>
        <rFont val="Arial"/>
        <family val="2"/>
      </rPr>
      <t>3. UKPre系统测试</t>
    </r>
  </si>
  <si>
    <r>
      <rPr>
        <sz val="11"/>
        <color rgb="FF000000"/>
        <rFont val="Arial"/>
        <family val="2"/>
      </rPr>
      <t xml:space="preserve">D9
</t>
    </r>
    <r>
      <rPr>
        <sz val="11"/>
        <color rgb="FF58110E"/>
        <rFont val="Arial"/>
        <family val="2"/>
      </rPr>
      <t>子任务拆分              </t>
    </r>
    <r>
      <rPr>
        <sz val="11"/>
        <color rgb="FFDE3C36"/>
        <rFont val="Arial"/>
        <family val="2"/>
      </rPr>
      <t xml:space="preserve">
迭代总结会                                               </t>
    </r>
    <r>
      <rPr>
        <sz val="11"/>
        <color rgb="FF2972F4"/>
        <rFont val="Arial"/>
        <family val="2"/>
      </rPr>
      <t>版本计划月度检视</t>
    </r>
  </si>
  <si>
    <r>
      <rPr>
        <sz val="11"/>
        <color rgb="FF000000"/>
        <rFont val="Arial"/>
        <family val="2"/>
      </rPr>
      <t xml:space="preserve">D10                               
</t>
    </r>
    <r>
      <rPr>
        <b/>
        <i/>
        <sz val="11"/>
        <color rgb="FF2972F4"/>
        <rFont val="Arial"/>
        <family val="2"/>
      </rPr>
      <t xml:space="preserve">1. UK发版(Web) </t>
    </r>
    <r>
      <rPr>
        <b/>
        <i/>
        <sz val="11"/>
        <color rgb="FF2972F4"/>
        <rFont val="Arial"/>
        <family val="2"/>
      </rPr>
      <t xml:space="preserve">
2. 平台升级验证                                3. UK线上验证</t>
    </r>
    <r>
      <rPr>
        <b/>
        <i/>
        <sz val="11"/>
        <color rgb="FF2972F4"/>
        <rFont val="Arial"/>
        <family val="2"/>
      </rPr>
      <t xml:space="preserve">
4. UK Web上线后App发布新版                                                   </t>
    </r>
  </si>
  <si>
    <r>
      <rPr>
        <sz val="12"/>
        <color theme="1"/>
        <rFont val="Microsoft YaHei UI"/>
        <family val="2"/>
        <charset val="134"/>
      </rPr>
      <t xml:space="preserve">D3                               </t>
    </r>
    <r>
      <rPr>
        <sz val="12"/>
        <color rgb="FF0070C0"/>
        <rFont val="Microsoft YaHei UI"/>
        <family val="2"/>
        <charset val="134"/>
      </rPr>
      <t>概设完成（评审通过）</t>
    </r>
  </si>
  <si>
    <r>
      <rPr>
        <sz val="12"/>
        <color rgb="FF000000"/>
        <rFont val="Microsoft YaHei UI"/>
      </rPr>
      <t>D7                            </t>
    </r>
    <r>
      <rPr>
        <sz val="12"/>
        <color rgb="FF0070C0"/>
        <rFont val="Microsoft YaHei UI"/>
      </rPr>
      <t>详设完成（评审通过）</t>
    </r>
  </si>
  <si>
    <r>
      <rPr>
        <sz val="12"/>
        <color rgb="FF000000"/>
        <rFont val="Microsoft YaHei UI"/>
      </rPr>
      <t xml:space="preserve">D8                            </t>
    </r>
    <r>
      <rPr>
        <b/>
        <i/>
        <sz val="12"/>
        <color rgb="FF2972F4"/>
        <rFont val="Microsoft YaHei UI"/>
      </rPr>
      <t>预交底Backlog</t>
    </r>
  </si>
  <si>
    <r>
      <rPr>
        <sz val="12"/>
        <color rgb="FF000000"/>
        <rFont val="Microsoft YaHei UI"/>
      </rPr>
      <t xml:space="preserve">D4                            
</t>
    </r>
    <r>
      <rPr>
        <b/>
        <sz val="12"/>
        <color rgb="FF2972F4"/>
        <rFont val="Microsoft YaHei UI"/>
      </rPr>
      <t>初审共识（停一次）</t>
    </r>
    <r>
      <rPr>
        <sz val="12"/>
        <color rgb="FF000000"/>
        <rFont val="Microsoft YaHei UI"/>
      </rPr>
      <t xml:space="preserve">
测试平台统一版本app</t>
    </r>
  </si>
  <si>
    <r>
      <rPr>
        <sz val="12"/>
        <color rgb="FF000000"/>
        <rFont val="Microsoft YaHei UI"/>
      </rPr>
      <t xml:space="preserve">D8                           
</t>
    </r>
    <r>
      <rPr>
        <b/>
        <sz val="12"/>
        <color rgb="FF2972F4"/>
        <rFont val="Microsoft YaHei UI"/>
      </rPr>
      <t>预交底Backlog（暂停一次）</t>
    </r>
  </si>
  <si>
    <r>
      <rPr>
        <sz val="12"/>
        <color rgb="FF000000"/>
        <rFont val="Microsoft YaHei UI"/>
      </rPr>
      <t>D9                           </t>
    </r>
    <r>
      <rPr>
        <sz val="12"/>
        <color rgb="FF0070C0"/>
        <rFont val="Microsoft YaHei UI"/>
      </rPr>
      <t xml:space="preserve">  </t>
    </r>
    <r>
      <rPr>
        <sz val="12"/>
        <color rgb="FF000000"/>
        <rFont val="Microsoft YaHei UI"/>
      </rPr>
      <t xml:space="preserve">
详细交底</t>
    </r>
  </si>
  <si>
    <r>
      <rPr>
        <sz val="12"/>
        <color rgb="FF000000"/>
        <rFont val="Microsoft YaHei UI"/>
      </rPr>
      <t xml:space="preserve">补班                                                                                                                     D9
</t>
    </r>
    <r>
      <rPr>
        <b/>
        <i/>
        <u/>
        <sz val="12"/>
        <color rgb="FFFFFFFF"/>
        <rFont val="Microsoft YaHei UI"/>
      </rPr>
      <t>详细需求交底</t>
    </r>
  </si>
  <si>
    <r>
      <rPr>
        <sz val="12"/>
        <color rgb="FF000000"/>
        <rFont val="Microsoft YaHei UI"/>
      </rPr>
      <t>D7                            </t>
    </r>
    <r>
      <rPr>
        <sz val="12"/>
        <color rgb="FF0070C0"/>
        <rFont val="Microsoft YaHei UI"/>
      </rPr>
      <t>详设完成（评审通过）</t>
    </r>
    <r>
      <rPr>
        <sz val="12"/>
        <color rgb="FF000000"/>
        <rFont val="Microsoft YaHei UI"/>
      </rPr>
      <t xml:space="preserve">
产品走查</t>
    </r>
  </si>
  <si>
    <r>
      <rPr>
        <sz val="12"/>
        <color rgb="FF000000"/>
        <rFont val="Microsoft YaHei UI"/>
      </rPr>
      <t>D9                           </t>
    </r>
    <r>
      <rPr>
        <sz val="12"/>
        <color rgb="FF0070C0"/>
        <rFont val="Microsoft YaHei UI"/>
      </rPr>
      <t xml:space="preserve">  </t>
    </r>
    <r>
      <rPr>
        <sz val="12"/>
        <color rgb="FF000000"/>
        <rFont val="Microsoft YaHei UI"/>
      </rPr>
      <t xml:space="preserve">
产品走查
集成测试</t>
    </r>
  </si>
  <si>
    <r>
      <rPr>
        <sz val="12"/>
        <color rgb="FF000000"/>
        <rFont val="Microsoft YaHei UI"/>
      </rPr>
      <t xml:space="preserve">D4                                
UK上线测试 
</t>
    </r>
    <r>
      <rPr>
        <b/>
        <i/>
        <sz val="12"/>
        <color rgb="FF2972F4"/>
        <rFont val="Microsoft YaHei UI"/>
      </rPr>
      <t>预交底Backlog</t>
    </r>
  </si>
  <si>
    <r>
      <rPr>
        <sz val="12"/>
        <color rgb="FF000000"/>
        <rFont val="Microsoft YaHei UI"/>
      </rPr>
      <t xml:space="preserve">补班                                                                                                                     D5
</t>
    </r>
    <r>
      <rPr>
        <b/>
        <i/>
        <u/>
        <sz val="12"/>
        <color rgb="FFFFFFFF"/>
        <rFont val="Microsoft YaHei UI"/>
      </rPr>
      <t>详细需求交底</t>
    </r>
  </si>
  <si>
    <r>
      <t xml:space="preserve">D4                                </t>
    </r>
    <r>
      <rPr>
        <b/>
        <i/>
        <sz val="12"/>
        <color rgb="FF0070C0"/>
        <rFont val="Microsoft YaHei UI"/>
        <family val="2"/>
        <charset val="134"/>
      </rPr>
      <t>初审共识</t>
    </r>
    <phoneticPr fontId="20" type="noConversion"/>
  </si>
  <si>
    <r>
      <t xml:space="preserve">D7                               </t>
    </r>
    <r>
      <rPr>
        <sz val="12"/>
        <color rgb="FF0070C0"/>
        <rFont val="Microsoft YaHei UI"/>
        <family val="2"/>
        <charset val="134"/>
      </rPr>
      <t xml:space="preserve">详设完成（评审通过） </t>
    </r>
    <phoneticPr fontId="20" type="noConversion"/>
  </si>
  <si>
    <r>
      <t xml:space="preserve">D9                               </t>
    </r>
    <r>
      <rPr>
        <b/>
        <i/>
        <sz val="12"/>
        <color rgb="FF0070C0"/>
        <rFont val="Microsoft YaHei UI"/>
        <family val="2"/>
        <charset val="134"/>
      </rPr>
      <t>预交底Backlog</t>
    </r>
    <r>
      <rPr>
        <b/>
        <i/>
        <u/>
        <sz val="12"/>
        <color theme="0"/>
        <rFont val="Microsoft YaHei UI"/>
        <family val="2"/>
        <charset val="134"/>
      </rPr>
      <t xml:space="preserve">             详细需求交底                                   </t>
    </r>
    <phoneticPr fontId="20" type="noConversion"/>
  </si>
  <si>
    <r>
      <t xml:space="preserve">D4                               </t>
    </r>
    <r>
      <rPr>
        <b/>
        <i/>
        <sz val="12"/>
        <color rgb="FF0070C0"/>
        <rFont val="Microsoft YaHei UI"/>
        <family val="2"/>
        <charset val="134"/>
      </rPr>
      <t>初审共识</t>
    </r>
    <phoneticPr fontId="20" type="noConversion"/>
  </si>
  <si>
    <r>
      <rPr>
        <sz val="12"/>
        <color rgb="FF000000"/>
        <rFont val="Microsoft YaHei UI"/>
      </rPr>
      <t xml:space="preserve">D7                               </t>
    </r>
    <r>
      <rPr>
        <sz val="12"/>
        <color rgb="FF0070C0"/>
        <rFont val="Microsoft YaHei UI"/>
      </rPr>
      <t>详设完成（评审通过）</t>
    </r>
    <r>
      <rPr>
        <sz val="12"/>
        <color rgb="FF000000"/>
        <rFont val="Microsoft YaHei UI"/>
      </rPr>
      <t xml:space="preserve">                           产品走查</t>
    </r>
  </si>
  <si>
    <r>
      <rPr>
        <sz val="12"/>
        <color rgb="FF000000"/>
        <rFont val="Microsoft YaHei UI"/>
      </rPr>
      <t xml:space="preserve">D8                              </t>
    </r>
    <r>
      <rPr>
        <b/>
        <i/>
        <sz val="12"/>
        <color rgb="FF2972F4"/>
        <rFont val="Microsoft YaHei UI"/>
      </rPr>
      <t xml:space="preserve">预交底Backlog           </t>
    </r>
    <r>
      <rPr>
        <sz val="12"/>
        <color rgb="FF000000"/>
        <rFont val="Microsoft YaHei UI"/>
      </rPr>
      <t>产品走查</t>
    </r>
  </si>
  <si>
    <r>
      <rPr>
        <sz val="12"/>
        <color rgb="FF000000"/>
        <rFont val="Microsoft YaHei UI"/>
      </rPr>
      <t>D4                           </t>
    </r>
    <r>
      <rPr>
        <sz val="12"/>
        <color rgb="FF0070C0"/>
        <rFont val="Microsoft YaHei UI"/>
      </rPr>
      <t xml:space="preserve">  </t>
    </r>
    <r>
      <rPr>
        <b/>
        <sz val="12"/>
        <color rgb="FF0070C0"/>
        <rFont val="Microsoft YaHei UI"/>
      </rPr>
      <t xml:space="preserve">
初审共识</t>
    </r>
  </si>
  <si>
    <r>
      <rPr>
        <sz val="12"/>
        <color rgb="FF000000"/>
        <rFont val="Microsoft YaHei UI"/>
      </rPr>
      <t xml:space="preserve">D8                                
</t>
    </r>
    <r>
      <rPr>
        <b/>
        <sz val="12"/>
        <color rgb="FF2972F4"/>
        <rFont val="Microsoft YaHei UI"/>
      </rPr>
      <t>预交底Backlog</t>
    </r>
  </si>
  <si>
    <r>
      <rPr>
        <sz val="12"/>
        <color rgb="FF000000"/>
        <rFont val="Microsoft YaHei UI"/>
      </rPr>
      <t>D4                           </t>
    </r>
    <r>
      <rPr>
        <sz val="12"/>
        <color rgb="FF0070C0"/>
        <rFont val="Microsoft YaHei UI"/>
      </rPr>
      <t xml:space="preserve">  </t>
    </r>
    <r>
      <rPr>
        <b/>
        <sz val="12"/>
        <color rgb="FF2972F4"/>
        <rFont val="Microsoft YaHei UI"/>
      </rPr>
      <t xml:space="preserve">
SP37-初审共识</t>
    </r>
  </si>
  <si>
    <r>
      <rPr>
        <sz val="12"/>
        <color rgb="FF000000"/>
        <rFont val="Microsoft YaHei UI"/>
      </rPr>
      <t xml:space="preserve">D8                                
</t>
    </r>
    <r>
      <rPr>
        <b/>
        <sz val="12"/>
        <color rgb="FF2972F4"/>
        <rFont val="Microsoft YaHei UI"/>
      </rPr>
      <t>SP37-预交底Backlog</t>
    </r>
  </si>
  <si>
    <r>
      <rPr>
        <sz val="12"/>
        <color rgb="FF000000"/>
        <rFont val="Microsoft YaHei UI"/>
      </rPr>
      <t>D4                           </t>
    </r>
    <r>
      <rPr>
        <sz val="12"/>
        <color rgb="FF0070C0"/>
        <rFont val="Microsoft YaHei UI"/>
      </rPr>
      <t xml:space="preserve">  </t>
    </r>
    <r>
      <rPr>
        <sz val="12"/>
        <color rgb="FF0070C0"/>
        <rFont val="Microsoft YaHei UI"/>
      </rPr>
      <t xml:space="preserve">
初审共识</t>
    </r>
  </si>
  <si>
    <r>
      <t>1</t>
    </r>
    <r>
      <rPr>
        <sz val="14"/>
        <color theme="1"/>
        <rFont val="宋体"/>
        <family val="3"/>
        <charset val="134"/>
        <scheme val="minor"/>
      </rPr>
      <t>、</t>
    </r>
    <r>
      <rPr>
        <sz val="14"/>
        <color theme="1"/>
        <rFont val="Calibri Light"/>
        <family val="2"/>
        <scheme val="minor"/>
      </rPr>
      <t>BIM model management per UK ISO 19650 (Completed)
2</t>
    </r>
    <r>
      <rPr>
        <sz val="14"/>
        <color theme="1"/>
        <rFont val="宋体"/>
        <family val="3"/>
        <charset val="134"/>
        <scheme val="minor"/>
      </rPr>
      <t>、</t>
    </r>
    <r>
      <rPr>
        <sz val="14"/>
        <color theme="1"/>
        <rFont val="Calibri Light"/>
        <family val="2"/>
        <scheme val="minor"/>
      </rPr>
      <t>Model Integration                                                          3</t>
    </r>
    <r>
      <rPr>
        <sz val="14"/>
        <color theme="1"/>
        <rFont val="宋体"/>
        <family val="3"/>
        <charset val="134"/>
        <scheme val="minor"/>
      </rPr>
      <t>、</t>
    </r>
    <r>
      <rPr>
        <sz val="14"/>
        <color theme="1"/>
        <rFont val="Calibri Light"/>
        <family val="2"/>
        <scheme val="minor"/>
      </rPr>
      <t>Location setting
4</t>
    </r>
    <r>
      <rPr>
        <sz val="14"/>
        <color theme="1"/>
        <rFont val="宋体"/>
        <family val="3"/>
        <charset val="134"/>
        <scheme val="minor"/>
      </rPr>
      <t>、</t>
    </r>
    <r>
      <rPr>
        <sz val="14"/>
        <color theme="1"/>
        <rFont val="Calibri Light"/>
        <family val="2"/>
        <scheme val="minor"/>
      </rPr>
      <t>Automatic room recognition                                       5</t>
    </r>
    <r>
      <rPr>
        <sz val="14"/>
        <color theme="1"/>
        <rFont val="宋体"/>
        <family val="3"/>
        <charset val="134"/>
        <scheme val="minor"/>
      </rPr>
      <t>、</t>
    </r>
    <r>
      <rPr>
        <sz val="14"/>
        <color theme="1"/>
        <rFont val="Calibri Light"/>
        <family val="2"/>
        <scheme val="minor"/>
      </rPr>
      <t xml:space="preserve">Location import from BIM model                        </t>
    </r>
    <r>
      <rPr>
        <sz val="14"/>
        <color theme="1"/>
        <rFont val="宋体"/>
        <family val="3"/>
        <charset val="134"/>
        <scheme val="minor"/>
      </rPr>
      <t>（</t>
    </r>
    <r>
      <rPr>
        <sz val="14"/>
        <color theme="1"/>
        <rFont val="Calibri Light"/>
        <family val="2"/>
        <scheme val="minor"/>
      </rPr>
      <t>Detail: Plan draft for 2 teams</t>
    </r>
    <r>
      <rPr>
        <sz val="14"/>
        <color theme="1"/>
        <rFont val="宋体"/>
        <family val="3"/>
        <charset val="134"/>
        <scheme val="minor"/>
      </rPr>
      <t>）</t>
    </r>
    <phoneticPr fontId="20" type="noConversion"/>
  </si>
  <si>
    <r>
      <t xml:space="preserve">D5                                </t>
    </r>
    <r>
      <rPr>
        <sz val="12"/>
        <color rgb="FF0070C0"/>
        <rFont val="Microsoft YaHei UI"/>
        <family val="2"/>
        <charset val="134"/>
      </rPr>
      <t xml:space="preserve">概设完成（评审通过）                  </t>
    </r>
    <phoneticPr fontId="20" type="noConversion"/>
  </si>
  <si>
    <r>
      <t xml:space="preserve">D9                               </t>
    </r>
    <r>
      <rPr>
        <sz val="12"/>
        <color theme="1"/>
        <rFont val="Microsoft YaHei UI"/>
        <family val="2"/>
        <charset val="134"/>
      </rPr>
      <t xml:space="preserve">                    系统测试                               </t>
    </r>
    <phoneticPr fontId="20" type="noConversion"/>
  </si>
  <si>
    <r>
      <t xml:space="preserve">D10                              </t>
    </r>
    <r>
      <rPr>
        <sz val="12"/>
        <color rgb="FF0070C0"/>
        <rFont val="Microsoft YaHei UI"/>
        <family val="2"/>
        <charset val="134"/>
      </rPr>
      <t xml:space="preserve">详设完成（评审通过）    </t>
    </r>
    <r>
      <rPr>
        <sz val="12"/>
        <color theme="1"/>
        <rFont val="Microsoft YaHei UI"/>
        <family val="2"/>
        <charset val="134"/>
      </rPr>
      <t xml:space="preserve">系统测试                      </t>
    </r>
    <phoneticPr fontId="20" type="noConversion"/>
  </si>
  <si>
    <r>
      <t xml:space="preserve">D11                              系统测试                       </t>
    </r>
    <r>
      <rPr>
        <sz val="12"/>
        <color theme="1"/>
        <rFont val="Microsoft YaHei UI"/>
        <family val="2"/>
        <charset val="134"/>
      </rPr>
      <t xml:space="preserve">                       </t>
    </r>
    <phoneticPr fontId="20" type="noConversion"/>
  </si>
  <si>
    <r>
      <t xml:space="preserve">D12                            系统测试                       </t>
    </r>
    <r>
      <rPr>
        <sz val="12"/>
        <color theme="1"/>
        <rFont val="Microsoft YaHei UI"/>
        <family val="2"/>
        <charset val="134"/>
      </rPr>
      <t xml:space="preserve">                       </t>
    </r>
    <phoneticPr fontId="20" type="noConversion"/>
  </si>
  <si>
    <t>2026 年 1 月</t>
    <phoneticPr fontId="75" type="noConversion"/>
  </si>
  <si>
    <t>2026 年 2 月</t>
    <phoneticPr fontId="75" type="noConversion"/>
  </si>
  <si>
    <t>春节（班）</t>
    <phoneticPr fontId="75" type="noConversion"/>
  </si>
  <si>
    <t>春节（休）</t>
    <phoneticPr fontId="7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</si>
</sst>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aaaa"/>
    <numFmt numFmtId="177" formatCode="dd"/>
    <numFmt numFmtId="178" formatCode="yyyy\-mm\-dd;@"/>
    <numFmt numFmtId="179" formatCode="m&quot;月&quot;d&quot;日&quot;;@"/>
    <numFmt numFmtId="180" formatCode="&quot;周&quot;aaa"/>
  </numFmts>
  <fonts count="82">
    <font>
      <sz val="11"/>
      <color theme="1"/>
      <name val="Microsoft YaHei UI"/>
      <charset val="134"/>
    </font>
    <font>
      <sz val="11"/>
      <color theme="4" tint="-0.24994659260841701"/>
      <name val="Arial"/>
      <family val="2"/>
      <charset val="134"/>
    </font>
    <font>
      <sz val="11"/>
      <color rgb="FF122A2D"/>
      <name val="Arial"/>
      <family val="2"/>
      <charset val="134"/>
    </font>
    <font>
      <sz val="32"/>
      <color theme="3"/>
      <name val="Microsoft YaHei UI"/>
      <family val="2"/>
      <charset val="134"/>
    </font>
    <font>
      <sz val="11"/>
      <color theme="0"/>
      <name val="Arial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Arial"/>
      <family val="2"/>
    </font>
    <font>
      <sz val="11"/>
      <name val="Arial"/>
      <family val="2"/>
      <charset val="134"/>
    </font>
    <font>
      <b/>
      <sz val="11"/>
      <color rgb="FFFFFFFF"/>
      <name val="Arial"/>
      <family val="2"/>
      <charset val="134"/>
    </font>
    <font>
      <sz val="11"/>
      <color theme="0" tint="-0.34995574816125979"/>
      <name val="Arial"/>
      <family val="2"/>
    </font>
    <font>
      <b/>
      <sz val="11"/>
      <color theme="1"/>
      <name val="Microsoft YaHei UI"/>
      <family val="2"/>
      <charset val="134"/>
    </font>
    <font>
      <sz val="11"/>
      <name val="Arial"/>
      <family val="2"/>
      <charset val="134"/>
    </font>
    <font>
      <sz val="11"/>
      <color theme="0" tint="-0.34995574816125979"/>
      <name val="Arial"/>
      <family val="2"/>
      <charset val="134"/>
    </font>
    <font>
      <sz val="32"/>
      <color theme="4" tint="-0.24994659260841701"/>
      <name val="Microsoft YaHei UI"/>
      <family val="2"/>
      <charset val="134"/>
    </font>
    <font>
      <sz val="11"/>
      <color theme="0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sz val="11"/>
      <color theme="1"/>
      <name val="Microsoft YaHei UI"/>
      <charset val="1"/>
    </font>
    <font>
      <sz val="12"/>
      <name val="Microsoft YaHei UI"/>
      <family val="2"/>
      <charset val="134"/>
    </font>
    <font>
      <sz val="11"/>
      <color theme="1"/>
      <name val="Microsoft YaHei UI"/>
    </font>
    <font>
      <sz val="11"/>
      <name val="Microsoft YaHei UI"/>
    </font>
    <font>
      <sz val="11"/>
      <name val="Microsoft YaHei UI"/>
      <charset val="1"/>
    </font>
    <font>
      <sz val="11"/>
      <color theme="1"/>
      <name val="Microsoft YaHei UI"/>
      <family val="2"/>
      <charset val="134"/>
    </font>
    <font>
      <sz val="11"/>
      <color rgb="FF000000"/>
      <name val="Arial"/>
      <family val="2"/>
      <charset val="134"/>
    </font>
    <font>
      <sz val="11"/>
      <color rgb="FF000000"/>
      <name val="Arial"/>
      <family val="2"/>
    </font>
    <font>
      <sz val="11"/>
      <color theme="0" tint="-0.34995574816125979"/>
      <name val="Microsoft YaHei UI"/>
      <family val="2"/>
      <charset val="134"/>
    </font>
    <font>
      <sz val="12"/>
      <name val="Microsoft YaHei UI"/>
      <family val="2"/>
      <charset val="134"/>
    </font>
    <font>
      <b/>
      <sz val="12"/>
      <name val="Microsoft YaHei UI"/>
      <family val="2"/>
      <charset val="134"/>
    </font>
    <font>
      <sz val="12"/>
      <color theme="1"/>
      <name val="Arial"/>
      <family val="2"/>
      <charset val="134"/>
    </font>
    <font>
      <sz val="12"/>
      <color rgb="FFFFFFFF"/>
      <name val="Microsoft YaHei UI"/>
      <family val="2"/>
      <charset val="134"/>
    </font>
    <font>
      <sz val="32"/>
      <color theme="4" tint="-0.24994659260841701"/>
      <name val="Arial"/>
      <family val="2"/>
      <charset val="134"/>
    </font>
    <font>
      <sz val="32"/>
      <color theme="3"/>
      <name val="Arial"/>
      <family val="2"/>
      <charset val="134"/>
    </font>
    <font>
      <sz val="11"/>
      <color rgb="FF7F7F7F"/>
      <name val="Arial"/>
      <family val="2"/>
      <charset val="134"/>
    </font>
    <font>
      <b/>
      <sz val="16"/>
      <name val="Arial Unicode MS"/>
      <family val="2"/>
    </font>
    <font>
      <b/>
      <sz val="12"/>
      <name val="Microsoft YaHei UI"/>
    </font>
    <font>
      <sz val="11"/>
      <name val="Microsoft YaHei UI"/>
    </font>
    <font>
      <b/>
      <sz val="11"/>
      <color rgb="FFFFFFFF"/>
      <name val="Microsoft YaHei UI"/>
    </font>
    <font>
      <b/>
      <sz val="11"/>
      <name val="Microsoft YaHei UI"/>
    </font>
    <font>
      <sz val="11"/>
      <name val="等线"/>
      <family val="4"/>
      <charset val="134"/>
    </font>
    <font>
      <b/>
      <sz val="22"/>
      <color theme="1"/>
      <name val="Calibri Light"/>
      <family val="2"/>
      <scheme val="minor"/>
    </font>
    <font>
      <sz val="14"/>
      <color theme="1"/>
      <name val="Calibri Light"/>
      <family val="2"/>
      <scheme val="minor"/>
    </font>
    <font>
      <sz val="14"/>
      <color rgb="FFC00000"/>
      <name val="Calibri Light"/>
      <family val="2"/>
      <scheme val="minor"/>
    </font>
    <font>
      <b/>
      <sz val="14"/>
      <color rgb="FFC00000"/>
      <name val="等线"/>
      <family val="3"/>
      <charset val="134"/>
    </font>
    <font>
      <sz val="11"/>
      <color theme="1"/>
      <name val="Calibri Light"/>
      <family val="2"/>
      <scheme val="minor"/>
    </font>
    <font>
      <b/>
      <sz val="11"/>
      <color rgb="FFC00000"/>
      <name val="等线"/>
      <family val="3"/>
      <charset val="134"/>
    </font>
    <font>
      <sz val="11"/>
      <color rgb="FFC00000"/>
      <name val="Calibri Light"/>
      <family val="2"/>
      <scheme val="minor"/>
    </font>
    <font>
      <sz val="9"/>
      <color theme="1"/>
      <name val="Microsoft YaHei UI"/>
      <family val="2"/>
      <charset val="134"/>
    </font>
    <font>
      <sz val="18"/>
      <color theme="1"/>
      <name val="Calibri Light"/>
      <family val="2"/>
      <scheme val="minor"/>
    </font>
    <font>
      <sz val="18"/>
      <color theme="1"/>
      <name val="Calibri Light"/>
      <family val="2"/>
    </font>
    <font>
      <b/>
      <i/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  <font>
      <b/>
      <sz val="11"/>
      <color rgb="FF000000"/>
      <name val="Arial"/>
      <family val="2"/>
    </font>
    <font>
      <sz val="12"/>
      <color rgb="FF0070C0"/>
      <name val="Microsoft YaHei UI"/>
      <family val="2"/>
      <charset val="134"/>
    </font>
    <font>
      <b/>
      <i/>
      <sz val="12"/>
      <color rgb="FF0070C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b/>
      <i/>
      <u/>
      <sz val="12"/>
      <color theme="0"/>
      <name val="Microsoft YaHei UI"/>
      <family val="2"/>
      <charset val="134"/>
    </font>
    <font>
      <sz val="12"/>
      <color rgb="FF000000"/>
      <name val="Microsoft YaHei UI"/>
    </font>
    <font>
      <sz val="12"/>
      <color rgb="FF2972F4"/>
      <name val="Microsoft YaHei UI"/>
    </font>
    <font>
      <b/>
      <sz val="12"/>
      <color rgb="FFDE3C36"/>
      <name val="Microsoft YaHei UI"/>
    </font>
    <font>
      <b/>
      <i/>
      <sz val="12"/>
      <color rgb="FF2972F4"/>
      <name val="Microsoft YaHei UI"/>
    </font>
    <font>
      <sz val="12"/>
      <color rgb="FF0070C0"/>
      <name val="Microsoft YaHei UI"/>
    </font>
    <font>
      <b/>
      <i/>
      <u/>
      <sz val="12"/>
      <color rgb="FF2972F4"/>
      <name val="Microsoft YaHei UI"/>
    </font>
    <font>
      <b/>
      <sz val="12"/>
      <color rgb="FF2972F4"/>
      <name val="Microsoft YaHei UI"/>
    </font>
    <font>
      <b/>
      <i/>
      <u/>
      <sz val="12"/>
      <color rgb="FFFFFFFF"/>
      <name val="Microsoft YaHei UI"/>
    </font>
    <font>
      <b/>
      <i/>
      <sz val="12"/>
      <color rgb="FF0070C0"/>
      <name val="Microsoft YaHei UI"/>
    </font>
    <font>
      <b/>
      <sz val="11"/>
      <color rgb="FFFFFFFF"/>
      <name val="Arial"/>
      <family val="2"/>
    </font>
    <font>
      <sz val="11"/>
      <color rgb="FF2972F4"/>
      <name val="Arial"/>
      <family val="2"/>
    </font>
    <font>
      <b/>
      <sz val="12"/>
      <color rgb="FF000000"/>
      <name val="Microsoft YaHei UI"/>
    </font>
    <font>
      <u/>
      <sz val="11"/>
      <color rgb="FF267EF0"/>
      <name val="Arial"/>
      <family val="2"/>
    </font>
    <font>
      <sz val="11"/>
      <color rgb="FFDE3C36"/>
      <name val="Arial"/>
      <family val="2"/>
    </font>
    <font>
      <sz val="11"/>
      <color rgb="FF267EF0"/>
      <name val="Arial"/>
      <family val="2"/>
    </font>
    <font>
      <sz val="11"/>
      <color rgb="FF58110E"/>
      <name val="Arial"/>
      <family val="2"/>
    </font>
    <font>
      <b/>
      <i/>
      <sz val="11"/>
      <color rgb="FF2972F4"/>
      <name val="Arial"/>
      <family val="2"/>
    </font>
    <font>
      <b/>
      <sz val="12"/>
      <color rgb="FF0070C0"/>
      <name val="Microsoft YaHei UI"/>
    </font>
    <font>
      <sz val="14"/>
      <color theme="1"/>
      <name val="宋体"/>
      <family val="3"/>
      <charset val="134"/>
      <scheme val="minor"/>
    </font>
    <font>
      <sz val="9"/>
      <name val="Microsoft YaHei UI"/>
      <charset val="1"/>
    </font>
    <font>
      <b/>
      <sz val="11"/>
      <name val="Arial"/>
      <family val="2"/>
      <charset val="134"/>
    </font>
    <font>
      <sz val="11"/>
      <color theme="0" tint="-0.249977111117893"/>
      <name val="Arial"/>
      <family val="2"/>
    </font>
    <font>
      <b/>
      <sz val="28"/>
      <color theme="1"/>
      <name val="Arial"/>
      <family val="2"/>
    </font>
    <font>
      <sz val="11"/>
      <color theme="0" tint="-0.249977111117893"/>
      <name val="Arial"/>
      <family val="2"/>
      <charset val="134"/>
    </font>
    <font>
      <b/>
      <sz val="11"/>
      <color theme="1"/>
      <name val="Arial"/>
      <family val="2"/>
    </font>
    <font>
      <b/>
      <sz val="11"/>
      <color theme="0" tint="-0.249977111117893"/>
      <name val="Arial"/>
      <family val="2"/>
    </font>
  </fonts>
  <fills count="3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DCC4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C7DCFF"/>
        <bgColor auto="1"/>
      </patternFill>
    </fill>
    <fill>
      <patternFill patternType="solid">
        <fgColor rgb="FFC3EAD5"/>
        <bgColor auto="1"/>
      </patternFill>
    </fill>
    <fill>
      <patternFill patternType="solid">
        <fgColor rgb="FFC7ECFF"/>
        <bgColor auto="1"/>
      </patternFill>
    </fill>
    <fill>
      <patternFill patternType="none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FFE9E8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9C99"/>
        <bgColor auto="1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auto="1"/>
      </patternFill>
    </fill>
    <fill>
      <patternFill patternType="none"/>
    </fill>
    <fill>
      <patternFill patternType="solid">
        <fgColor rgb="FFDE3C36"/>
        <bgColor auto="1"/>
      </patternFill>
    </fill>
    <fill>
      <patternFill patternType="solid">
        <fgColor rgb="FFF88825"/>
        <bgColor auto="1"/>
      </patternFill>
    </fill>
    <fill>
      <patternFill patternType="solid">
        <fgColor theme="6"/>
        <bgColor indexed="64"/>
      </patternFill>
    </fill>
    <fill>
      <patternFill patternType="solid">
        <fgColor rgb="FFF97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EEAD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5B9BD5"/>
        <bgColor auto="1"/>
      </patternFill>
    </fill>
    <fill>
      <patternFill patternType="solid">
        <fgColor rgb="FFBDD7EE"/>
        <bgColor auto="1"/>
      </patternFill>
    </fill>
    <fill>
      <patternFill patternType="solid">
        <fgColor rgb="FFDDEBF7"/>
        <bgColor auto="1"/>
      </patternFill>
    </fill>
    <fill>
      <patternFill patternType="solid">
        <fgColor rgb="FF939393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1" tint="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/>
      <diagonal/>
    </border>
    <border>
      <left/>
      <right/>
      <top/>
      <bottom style="medium">
        <color theme="1" tint="0.14984588152714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 tint="0.14984588152714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medium">
        <color theme="1" tint="0.1499679555650502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 tint="0.14996795556505021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5B9BD5"/>
      </left>
      <right style="thin">
        <color rgb="FF2F75B5"/>
      </right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BDD7EE"/>
      </left>
      <right style="thin">
        <color rgb="FF2F75B5"/>
      </right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DDEBF7"/>
      </left>
      <right style="thin">
        <color rgb="FF2F75B5"/>
      </right>
      <top style="thin">
        <color rgb="FFDDEBF7"/>
      </top>
      <bottom style="thin">
        <color rgb="FFDDEBF7"/>
      </bottom>
      <diagonal/>
    </border>
    <border>
      <left/>
      <right style="thin">
        <color rgb="FFDDEBF7"/>
      </right>
      <top style="thin">
        <color rgb="FFDDEBF7"/>
      </top>
      <bottom style="thin">
        <color rgb="FFDDEBF7"/>
      </bottom>
      <diagonal/>
    </border>
    <border>
      <left/>
      <right style="thin">
        <color rgb="FFDDEBF7"/>
      </right>
      <top/>
      <bottom style="thin">
        <color rgb="FFDDEBF7"/>
      </bottom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 style="thin">
        <color rgb="FFDDEBF7"/>
      </left>
      <right style="thin">
        <color rgb="FF2F75B5"/>
      </right>
      <top/>
      <bottom style="thin">
        <color rgb="FFDDEBF7"/>
      </bottom>
      <diagonal/>
    </border>
    <border>
      <left/>
      <right style="thin">
        <color rgb="FF2F75B5"/>
      </right>
      <top/>
      <bottom style="thin">
        <color rgb="FFBDD7EE"/>
      </bottom>
      <diagonal/>
    </border>
    <border>
      <left style="thin">
        <color rgb="FFBDD7EE"/>
      </left>
      <right style="thin">
        <color rgb="FF2F75B5"/>
      </right>
      <top style="thin">
        <color rgb="FFBDD7EE"/>
      </top>
      <bottom style="thin">
        <color rgb="FF548235"/>
      </bottom>
      <diagonal/>
    </border>
    <border>
      <left style="thin">
        <color rgb="FFBDD7EE"/>
      </left>
      <right/>
      <top style="thin">
        <color rgb="FFBDD7EE"/>
      </top>
      <bottom style="thin">
        <color rgb="FF548235"/>
      </bottom>
      <diagonal/>
    </border>
    <border>
      <left style="thin">
        <color rgb="FF2F75B5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2F75B5"/>
      </left>
      <right style="thin">
        <color rgb="FFBDD7EE"/>
      </right>
      <top/>
      <bottom style="thin">
        <color rgb="FFBDD7EE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0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176" fontId="5" fillId="2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 vertical="center" indent="1"/>
    </xf>
    <xf numFmtId="0" fontId="6" fillId="3" borderId="3" xfId="0" applyFont="1" applyFill="1" applyBorder="1" applyAlignment="1">
      <alignment horizontal="right" vertical="center" indent="1"/>
    </xf>
    <xf numFmtId="0" fontId="5" fillId="2" borderId="1" xfId="0" applyFont="1" applyFill="1" applyBorder="1" applyAlignment="1">
      <alignment vertical="top"/>
    </xf>
    <xf numFmtId="0" fontId="7" fillId="4" borderId="4" xfId="0" applyFont="1" applyFill="1" applyBorder="1" applyAlignment="1">
      <alignment vertical="top" wrapText="1"/>
    </xf>
    <xf numFmtId="0" fontId="8" fillId="5" borderId="4" xfId="0" applyFont="1" applyFill="1" applyBorder="1" applyAlignment="1">
      <alignment vertical="top" wrapText="1"/>
    </xf>
    <xf numFmtId="0" fontId="9" fillId="3" borderId="3" xfId="0" applyFont="1" applyFill="1" applyBorder="1" applyAlignment="1">
      <alignment horizontal="right" vertical="center" indent="1"/>
    </xf>
    <xf numFmtId="0" fontId="7" fillId="6" borderId="4" xfId="0" applyFont="1" applyFill="1" applyBorder="1" applyAlignment="1">
      <alignment vertical="top" wrapText="1"/>
    </xf>
    <xf numFmtId="0" fontId="10" fillId="3" borderId="4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11" fillId="7" borderId="4" xfId="0" applyFont="1" applyFill="1" applyBorder="1" applyAlignment="1">
      <alignment vertical="top" wrapText="1"/>
    </xf>
    <xf numFmtId="0" fontId="7" fillId="7" borderId="4" xfId="0" applyFont="1" applyFill="1" applyBorder="1" applyAlignment="1">
      <alignment vertical="top" wrapText="1"/>
    </xf>
    <xf numFmtId="0" fontId="12" fillId="3" borderId="3" xfId="0" applyFont="1" applyFill="1" applyBorder="1" applyAlignment="1">
      <alignment horizontal="right" vertical="center" indent="1"/>
    </xf>
    <xf numFmtId="0" fontId="7" fillId="8" borderId="4" xfId="0" applyFont="1" applyFill="1" applyBorder="1" applyAlignment="1">
      <alignment vertical="top" wrapText="1"/>
    </xf>
    <xf numFmtId="0" fontId="13" fillId="2" borderId="5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right"/>
    </xf>
    <xf numFmtId="176" fontId="15" fillId="2" borderId="6" xfId="0" applyNumberFormat="1" applyFont="1" applyFill="1" applyBorder="1" applyAlignment="1">
      <alignment horizontal="center" vertical="center"/>
    </xf>
    <xf numFmtId="177" fontId="16" fillId="2" borderId="7" xfId="0" applyNumberFormat="1" applyFont="1" applyFill="1" applyBorder="1" applyAlignment="1">
      <alignment horizontal="right" vertical="center" indent="1"/>
    </xf>
    <xf numFmtId="0" fontId="15" fillId="2" borderId="8" xfId="0" applyFont="1" applyFill="1" applyBorder="1" applyAlignment="1">
      <alignment vertical="top" wrapText="1"/>
    </xf>
    <xf numFmtId="0" fontId="15" fillId="10" borderId="8" xfId="0" applyFont="1" applyFill="1" applyBorder="1" applyAlignment="1">
      <alignment vertical="top" wrapText="1"/>
    </xf>
    <xf numFmtId="177" fontId="16" fillId="2" borderId="9" xfId="0" applyNumberFormat="1" applyFont="1" applyFill="1" applyBorder="1" applyAlignment="1">
      <alignment horizontal="right" vertical="center" indent="1"/>
    </xf>
    <xf numFmtId="0" fontId="15" fillId="11" borderId="8" xfId="0" applyFont="1" applyFill="1" applyBorder="1" applyAlignment="1">
      <alignment vertical="top" wrapText="1"/>
    </xf>
    <xf numFmtId="0" fontId="15" fillId="12" borderId="8" xfId="0" applyFont="1" applyFill="1" applyBorder="1" applyAlignment="1">
      <alignment vertical="top" wrapText="1"/>
    </xf>
    <xf numFmtId="0" fontId="15" fillId="13" borderId="8" xfId="0" applyFont="1" applyFill="1" applyBorder="1" applyAlignment="1">
      <alignment vertical="top" wrapText="1"/>
    </xf>
    <xf numFmtId="0" fontId="15" fillId="14" borderId="8" xfId="0" applyFont="1" applyFill="1" applyBorder="1" applyAlignment="1">
      <alignment vertical="top" wrapText="1"/>
    </xf>
    <xf numFmtId="176" fontId="15" fillId="2" borderId="10" xfId="0" applyNumberFormat="1" applyFont="1" applyFill="1" applyBorder="1" applyAlignment="1">
      <alignment horizontal="center" vertical="center"/>
    </xf>
    <xf numFmtId="0" fontId="17" fillId="15" borderId="8" xfId="0" applyFont="1" applyFill="1" applyBorder="1" applyAlignment="1">
      <alignment vertical="top" wrapText="1"/>
    </xf>
    <xf numFmtId="0" fontId="17" fillId="15" borderId="11" xfId="0" applyFont="1" applyFill="1" applyBorder="1" applyAlignment="1">
      <alignment vertical="top" wrapText="1"/>
    </xf>
    <xf numFmtId="0" fontId="17" fillId="15" borderId="12" xfId="0" applyFont="1" applyFill="1" applyBorder="1" applyAlignment="1">
      <alignment vertical="top" wrapText="1"/>
    </xf>
    <xf numFmtId="0" fontId="15" fillId="16" borderId="8" xfId="0" applyFont="1" applyFill="1" applyBorder="1" applyAlignment="1">
      <alignment vertical="top" wrapText="1"/>
    </xf>
    <xf numFmtId="0" fontId="18" fillId="2" borderId="13" xfId="0" applyFont="1" applyFill="1" applyBorder="1" applyAlignment="1">
      <alignment horizontal="right" vertical="center"/>
    </xf>
    <xf numFmtId="0" fontId="19" fillId="2" borderId="13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7" fillId="17" borderId="4" xfId="0" applyFont="1" applyFill="1" applyBorder="1" applyAlignment="1">
      <alignment vertical="top" wrapText="1"/>
    </xf>
    <xf numFmtId="0" fontId="17" fillId="17" borderId="14" xfId="0" applyFont="1" applyFill="1" applyBorder="1" applyAlignment="1">
      <alignment vertical="top" wrapText="1"/>
    </xf>
    <xf numFmtId="0" fontId="17" fillId="8" borderId="14" xfId="0" applyFont="1" applyFill="1" applyBorder="1" applyAlignment="1">
      <alignment vertical="top" wrapText="1"/>
    </xf>
    <xf numFmtId="0" fontId="17" fillId="8" borderId="15" xfId="0" applyFont="1" applyFill="1" applyBorder="1" applyAlignment="1">
      <alignment vertical="top" wrapText="1"/>
    </xf>
    <xf numFmtId="177" fontId="18" fillId="2" borderId="13" xfId="0" applyNumberFormat="1" applyFont="1" applyFill="1" applyBorder="1" applyAlignment="1">
      <alignment horizontal="right" vertical="center"/>
    </xf>
    <xf numFmtId="0" fontId="20" fillId="2" borderId="9" xfId="0" applyFont="1" applyFill="1" applyBorder="1" applyAlignment="1">
      <alignment horizontal="right" vertical="center" indent="1"/>
    </xf>
    <xf numFmtId="0" fontId="17" fillId="10" borderId="8" xfId="0" applyFont="1" applyFill="1" applyBorder="1" applyAlignment="1">
      <alignment vertical="top" wrapText="1"/>
    </xf>
    <xf numFmtId="0" fontId="17" fillId="18" borderId="11" xfId="0" applyFont="1" applyFill="1" applyBorder="1" applyAlignment="1">
      <alignment vertical="top" wrapText="1"/>
    </xf>
    <xf numFmtId="0" fontId="17" fillId="18" borderId="12" xfId="0" applyFont="1" applyFill="1" applyBorder="1" applyAlignment="1">
      <alignment vertical="top" wrapText="1"/>
    </xf>
    <xf numFmtId="0" fontId="17" fillId="19" borderId="8" xfId="0" applyFont="1" applyFill="1" applyBorder="1" applyAlignment="1">
      <alignment vertical="top" wrapText="1"/>
    </xf>
    <xf numFmtId="0" fontId="15" fillId="19" borderId="8" xfId="0" applyFont="1" applyFill="1" applyBorder="1" applyAlignment="1">
      <alignment vertical="top" wrapText="1"/>
    </xf>
    <xf numFmtId="0" fontId="17" fillId="19" borderId="11" xfId="0" applyFont="1" applyFill="1" applyBorder="1" applyAlignment="1">
      <alignment vertical="top" wrapText="1"/>
    </xf>
    <xf numFmtId="0" fontId="17" fillId="19" borderId="12" xfId="0" applyFont="1" applyFill="1" applyBorder="1" applyAlignment="1">
      <alignment vertical="top" wrapText="1"/>
    </xf>
    <xf numFmtId="0" fontId="21" fillId="3" borderId="1" xfId="0" applyFont="1" applyFill="1" applyBorder="1" applyAlignment="1">
      <alignment vertical="top"/>
    </xf>
    <xf numFmtId="177" fontId="16" fillId="9" borderId="9" xfId="0" applyNumberFormat="1" applyFont="1" applyFill="1" applyBorder="1" applyAlignment="1">
      <alignment horizontal="right" vertical="center" indent="1"/>
    </xf>
    <xf numFmtId="177" fontId="16" fillId="20" borderId="9" xfId="0" applyNumberFormat="1" applyFont="1" applyFill="1" applyBorder="1" applyAlignment="1">
      <alignment horizontal="right" vertical="center" indent="1"/>
    </xf>
    <xf numFmtId="0" fontId="11" fillId="3" borderId="4" xfId="0" applyFont="1" applyFill="1" applyBorder="1" applyAlignment="1">
      <alignment vertical="top" wrapText="1"/>
    </xf>
    <xf numFmtId="177" fontId="24" fillId="2" borderId="16" xfId="0" applyNumberFormat="1" applyFont="1" applyFill="1" applyBorder="1" applyAlignment="1">
      <alignment horizontal="right" vertical="center" indent="1"/>
    </xf>
    <xf numFmtId="177" fontId="16" fillId="2" borderId="16" xfId="0" applyNumberFormat="1" applyFont="1" applyFill="1" applyBorder="1" applyAlignment="1">
      <alignment horizontal="right" vertical="center" indent="1"/>
    </xf>
    <xf numFmtId="0" fontId="17" fillId="23" borderId="8" xfId="0" applyFont="1" applyFill="1" applyBorder="1" applyAlignment="1">
      <alignment vertical="top" wrapText="1"/>
    </xf>
    <xf numFmtId="0" fontId="17" fillId="24" borderId="11" xfId="0" applyFont="1" applyFill="1" applyBorder="1" applyAlignment="1">
      <alignment vertical="top" wrapText="1"/>
    </xf>
    <xf numFmtId="0" fontId="17" fillId="24" borderId="17" xfId="0" applyFont="1" applyFill="1" applyBorder="1" applyAlignment="1">
      <alignment vertical="top" wrapText="1"/>
    </xf>
    <xf numFmtId="0" fontId="17" fillId="25" borderId="17" xfId="0" applyFont="1" applyFill="1" applyBorder="1" applyAlignment="1">
      <alignment vertical="top" wrapText="1"/>
    </xf>
    <xf numFmtId="0" fontId="25" fillId="2" borderId="1" xfId="0" applyFont="1" applyFill="1" applyBorder="1" applyAlignment="1">
      <alignment vertical="top"/>
    </xf>
    <xf numFmtId="0" fontId="17" fillId="25" borderId="11" xfId="0" applyFont="1" applyFill="1" applyBorder="1" applyAlignment="1">
      <alignment vertical="top" wrapText="1"/>
    </xf>
    <xf numFmtId="0" fontId="26" fillId="22" borderId="8" xfId="0" applyFont="1" applyFill="1" applyBorder="1" applyAlignment="1">
      <alignment vertical="top" wrapText="1"/>
    </xf>
    <xf numFmtId="177" fontId="24" fillId="2" borderId="9" xfId="0" applyNumberFormat="1" applyFont="1" applyFill="1" applyBorder="1" applyAlignment="1">
      <alignment horizontal="right" vertical="center" indent="1"/>
    </xf>
    <xf numFmtId="0" fontId="4" fillId="2" borderId="5" xfId="0" applyFont="1" applyFill="1" applyBorder="1" applyAlignment="1">
      <alignment horizontal="right"/>
    </xf>
    <xf numFmtId="176" fontId="27" fillId="2" borderId="10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top"/>
    </xf>
    <xf numFmtId="0" fontId="11" fillId="4" borderId="8" xfId="0" applyFont="1" applyFill="1" applyBorder="1" applyAlignment="1">
      <alignment vertical="top" wrapText="1"/>
    </xf>
    <xf numFmtId="0" fontId="7" fillId="4" borderId="8" xfId="0" applyFont="1" applyFill="1" applyBorder="1" applyAlignment="1">
      <alignment vertical="top" wrapText="1"/>
    </xf>
    <xf numFmtId="177" fontId="6" fillId="9" borderId="9" xfId="0" applyNumberFormat="1" applyFont="1" applyFill="1" applyBorder="1" applyAlignment="1">
      <alignment horizontal="right" vertical="center" indent="1"/>
    </xf>
    <xf numFmtId="0" fontId="11" fillId="6" borderId="8" xfId="0" applyFont="1" applyFill="1" applyBorder="1" applyAlignment="1">
      <alignment vertical="top" wrapText="1"/>
    </xf>
    <xf numFmtId="0" fontId="11" fillId="7" borderId="8" xfId="0" applyFont="1" applyFill="1" applyBorder="1" applyAlignment="1">
      <alignment vertical="top" wrapText="1"/>
    </xf>
    <xf numFmtId="0" fontId="7" fillId="7" borderId="8" xfId="0" applyFont="1" applyFill="1" applyBorder="1" applyAlignment="1">
      <alignment vertical="top" wrapText="1"/>
    </xf>
    <xf numFmtId="0" fontId="15" fillId="16" borderId="18" xfId="0" applyFont="1" applyFill="1" applyBorder="1" applyAlignment="1">
      <alignment vertical="top" wrapText="1"/>
    </xf>
    <xf numFmtId="0" fontId="17" fillId="26" borderId="8" xfId="0" applyFont="1" applyFill="1" applyBorder="1" applyAlignment="1">
      <alignment vertical="top" wrapText="1"/>
    </xf>
    <xf numFmtId="0" fontId="28" fillId="21" borderId="8" xfId="0" applyFont="1" applyFill="1" applyBorder="1" applyAlignment="1">
      <alignment vertical="top" wrapText="1"/>
    </xf>
    <xf numFmtId="0" fontId="17" fillId="8" borderId="8" xfId="0" applyFont="1" applyFill="1" applyBorder="1" applyAlignment="1">
      <alignment vertical="top" wrapText="1"/>
    </xf>
    <xf numFmtId="0" fontId="15" fillId="9" borderId="8" xfId="0" applyFont="1" applyFill="1" applyBorder="1" applyAlignment="1">
      <alignment vertical="top" wrapText="1"/>
    </xf>
    <xf numFmtId="0" fontId="29" fillId="2" borderId="5" xfId="0" applyFont="1" applyFill="1" applyBorder="1" applyAlignment="1">
      <alignment horizontal="left"/>
    </xf>
    <xf numFmtId="58" fontId="6" fillId="2" borderId="16" xfId="0" applyNumberFormat="1" applyFont="1" applyFill="1" applyBorder="1" applyAlignment="1">
      <alignment horizontal="right" vertical="center" indent="1"/>
    </xf>
    <xf numFmtId="0" fontId="27" fillId="16" borderId="8" xfId="0" applyFont="1" applyFill="1" applyBorder="1" applyAlignment="1">
      <alignment vertical="top" wrapText="1"/>
    </xf>
    <xf numFmtId="177" fontId="6" fillId="2" borderId="9" xfId="0" applyNumberFormat="1" applyFont="1" applyFill="1" applyBorder="1" applyAlignment="1">
      <alignment horizontal="right" vertical="center" indent="1"/>
    </xf>
    <xf numFmtId="0" fontId="27" fillId="2" borderId="8" xfId="0" applyFont="1" applyFill="1" applyBorder="1" applyAlignment="1">
      <alignment vertical="top" wrapText="1"/>
    </xf>
    <xf numFmtId="177" fontId="22" fillId="27" borderId="19" xfId="0" applyNumberFormat="1" applyFont="1" applyFill="1" applyBorder="1" applyAlignment="1">
      <alignment horizontal="right" vertical="center" indent="1"/>
    </xf>
    <xf numFmtId="177" fontId="22" fillId="2" borderId="9" xfId="0" applyNumberFormat="1" applyFont="1" applyFill="1" applyBorder="1" applyAlignment="1">
      <alignment horizontal="right" vertical="center" indent="1"/>
    </xf>
    <xf numFmtId="178" fontId="31" fillId="2" borderId="9" xfId="0" applyNumberFormat="1" applyFont="1" applyFill="1" applyBorder="1" applyAlignment="1">
      <alignment horizontal="right" vertical="center" indent="1"/>
    </xf>
    <xf numFmtId="177" fontId="31" fillId="9" borderId="9" xfId="0" applyNumberFormat="1" applyFont="1" applyFill="1" applyBorder="1" applyAlignment="1">
      <alignment horizontal="right" vertical="center" indent="1"/>
    </xf>
    <xf numFmtId="177" fontId="31" fillId="2" borderId="9" xfId="0" applyNumberFormat="1" applyFont="1" applyFill="1" applyBorder="1" applyAlignment="1">
      <alignment horizontal="right" vertical="center" indent="1"/>
    </xf>
    <xf numFmtId="0" fontId="33" fillId="28" borderId="0" xfId="0" applyFont="1" applyFill="1" applyAlignment="1">
      <alignment vertical="center" wrapText="1"/>
    </xf>
    <xf numFmtId="0" fontId="34" fillId="28" borderId="0" xfId="0" applyFont="1" applyFill="1">
      <alignment vertical="center"/>
    </xf>
    <xf numFmtId="0" fontId="35" fillId="29" borderId="20" xfId="0" applyFont="1" applyFill="1" applyBorder="1" applyAlignment="1">
      <alignment horizontal="center" vertical="center" wrapText="1"/>
    </xf>
    <xf numFmtId="0" fontId="35" fillId="29" borderId="21" xfId="0" applyFont="1" applyFill="1" applyBorder="1" applyAlignment="1">
      <alignment horizontal="center" vertical="center" wrapText="1"/>
    </xf>
    <xf numFmtId="0" fontId="34" fillId="30" borderId="22" xfId="0" applyFont="1" applyFill="1" applyBorder="1" applyAlignment="1">
      <alignment horizontal="center" vertical="center" wrapText="1"/>
    </xf>
    <xf numFmtId="0" fontId="36" fillId="30" borderId="23" xfId="0" applyFont="1" applyFill="1" applyBorder="1" applyAlignment="1">
      <alignment horizontal="center" vertical="center" wrapText="1"/>
    </xf>
    <xf numFmtId="0" fontId="34" fillId="31" borderId="24" xfId="0" applyFont="1" applyFill="1" applyBorder="1" applyAlignment="1">
      <alignment horizontal="center" vertical="center" wrapText="1"/>
    </xf>
    <xf numFmtId="0" fontId="34" fillId="31" borderId="25" xfId="0" applyFont="1" applyFill="1" applyBorder="1" applyAlignment="1">
      <alignment vertical="center" wrapText="1"/>
    </xf>
    <xf numFmtId="0" fontId="34" fillId="31" borderId="26" xfId="0" applyFont="1" applyFill="1" applyBorder="1" applyAlignment="1">
      <alignment vertical="center" wrapText="1"/>
    </xf>
    <xf numFmtId="0" fontId="34" fillId="30" borderId="23" xfId="0" applyFont="1" applyFill="1" applyBorder="1" applyAlignment="1">
      <alignment vertical="center" wrapText="1"/>
    </xf>
    <xf numFmtId="0" fontId="34" fillId="30" borderId="27" xfId="0" applyFont="1" applyFill="1" applyBorder="1" applyAlignment="1">
      <alignment vertical="center" wrapText="1"/>
    </xf>
    <xf numFmtId="0" fontId="34" fillId="31" borderId="25" xfId="0" applyFont="1" applyFill="1" applyBorder="1" applyAlignment="1">
      <alignment horizontal="center" vertical="center" wrapText="1"/>
    </xf>
    <xf numFmtId="0" fontId="34" fillId="31" borderId="24" xfId="0" applyFont="1" applyFill="1" applyBorder="1" applyAlignment="1">
      <alignment vertical="center" wrapText="1"/>
    </xf>
    <xf numFmtId="0" fontId="34" fillId="31" borderId="28" xfId="0" applyFont="1" applyFill="1" applyBorder="1" applyAlignment="1">
      <alignment horizontal="left" vertical="center" wrapText="1"/>
    </xf>
    <xf numFmtId="0" fontId="37" fillId="28" borderId="0" xfId="0" applyFont="1" applyFill="1">
      <alignment vertical="center"/>
    </xf>
    <xf numFmtId="0" fontId="34" fillId="31" borderId="28" xfId="0" applyFont="1" applyFill="1" applyBorder="1" applyAlignment="1">
      <alignment horizontal="center" vertical="center" wrapText="1"/>
    </xf>
    <xf numFmtId="0" fontId="34" fillId="30" borderId="32" xfId="0" applyFont="1" applyFill="1" applyBorder="1" applyAlignment="1">
      <alignment vertical="center" wrapText="1"/>
    </xf>
    <xf numFmtId="0" fontId="34" fillId="30" borderId="33" xfId="0" applyFont="1" applyFill="1" applyBorder="1" applyAlignment="1">
      <alignment vertical="center" wrapText="1"/>
    </xf>
    <xf numFmtId="0" fontId="17" fillId="21" borderId="8" xfId="0" applyFont="1" applyFill="1" applyBorder="1" applyAlignment="1">
      <alignment vertical="top" wrapText="1"/>
    </xf>
    <xf numFmtId="0" fontId="17" fillId="19" borderId="34" xfId="0" applyFont="1" applyFill="1" applyBorder="1" applyAlignment="1">
      <alignment vertical="top" wrapText="1"/>
    </xf>
    <xf numFmtId="0" fontId="15" fillId="19" borderId="34" xfId="0" applyFont="1" applyFill="1" applyBorder="1" applyAlignment="1">
      <alignment vertical="top" wrapText="1"/>
    </xf>
    <xf numFmtId="0" fontId="17" fillId="19" borderId="35" xfId="0" applyFont="1" applyFill="1" applyBorder="1" applyAlignment="1">
      <alignment vertical="top" wrapText="1"/>
    </xf>
    <xf numFmtId="0" fontId="17" fillId="19" borderId="36" xfId="0" applyFont="1" applyFill="1" applyBorder="1" applyAlignment="1">
      <alignment vertical="top" wrapText="1"/>
    </xf>
    <xf numFmtId="22" fontId="0" fillId="0" borderId="0" xfId="0" applyNumberFormat="1" applyAlignment="1">
      <alignment vertical="top"/>
    </xf>
    <xf numFmtId="0" fontId="17" fillId="32" borderId="8" xfId="0" applyFont="1" applyFill="1" applyBorder="1" applyAlignment="1">
      <alignment vertical="top" wrapText="1"/>
    </xf>
    <xf numFmtId="0" fontId="15" fillId="32" borderId="8" xfId="0" applyFont="1" applyFill="1" applyBorder="1" applyAlignment="1">
      <alignment vertical="top" wrapText="1"/>
    </xf>
    <xf numFmtId="0" fontId="17" fillId="32" borderId="11" xfId="0" applyFont="1" applyFill="1" applyBorder="1" applyAlignment="1">
      <alignment vertical="top" wrapText="1"/>
    </xf>
    <xf numFmtId="0" fontId="17" fillId="32" borderId="12" xfId="0" applyFont="1" applyFill="1" applyBorder="1" applyAlignment="1">
      <alignment vertical="top" wrapText="1"/>
    </xf>
    <xf numFmtId="0" fontId="15" fillId="21" borderId="8" xfId="0" applyFont="1" applyFill="1" applyBorder="1" applyAlignment="1">
      <alignment vertical="top" wrapText="1"/>
    </xf>
    <xf numFmtId="177" fontId="16" fillId="20" borderId="19" xfId="0" applyNumberFormat="1" applyFont="1" applyFill="1" applyBorder="1" applyAlignment="1">
      <alignment horizontal="right" vertical="center" indent="1"/>
    </xf>
    <xf numFmtId="179" fontId="16" fillId="2" borderId="7" xfId="0" applyNumberFormat="1" applyFont="1" applyFill="1" applyBorder="1" applyAlignment="1">
      <alignment horizontal="right" vertical="center" indent="1"/>
    </xf>
    <xf numFmtId="0" fontId="16" fillId="2" borderId="7" xfId="0" applyFont="1" applyFill="1" applyBorder="1" applyAlignment="1">
      <alignment horizontal="right" vertical="center" indent="1"/>
    </xf>
    <xf numFmtId="0" fontId="17" fillId="17" borderId="8" xfId="0" applyFont="1" applyFill="1" applyBorder="1" applyAlignment="1">
      <alignment vertical="top" wrapText="1"/>
    </xf>
    <xf numFmtId="0" fontId="16" fillId="2" borderId="9" xfId="0" applyFont="1" applyFill="1" applyBorder="1" applyAlignment="1">
      <alignment horizontal="right" vertical="center" indent="1"/>
    </xf>
    <xf numFmtId="0" fontId="16" fillId="9" borderId="9" xfId="0" applyFont="1" applyFill="1" applyBorder="1" applyAlignment="1">
      <alignment horizontal="right" vertical="center" indent="1"/>
    </xf>
    <xf numFmtId="0" fontId="17" fillId="33" borderId="8" xfId="0" applyFont="1" applyFill="1" applyBorder="1" applyAlignment="1">
      <alignment vertical="top" wrapText="1"/>
    </xf>
    <xf numFmtId="0" fontId="17" fillId="9" borderId="8" xfId="0" applyFont="1" applyFill="1" applyBorder="1" applyAlignment="1">
      <alignment vertical="top" wrapText="1"/>
    </xf>
    <xf numFmtId="0" fontId="17" fillId="7" borderId="8" xfId="0" applyFont="1" applyFill="1" applyBorder="1" applyAlignment="1">
      <alignment vertical="top" wrapText="1"/>
    </xf>
    <xf numFmtId="179" fontId="16" fillId="2" borderId="9" xfId="0" applyNumberFormat="1" applyFont="1" applyFill="1" applyBorder="1" applyAlignment="1">
      <alignment horizontal="right" vertical="center" indent="1"/>
    </xf>
    <xf numFmtId="0" fontId="17" fillId="6" borderId="8" xfId="0" applyFont="1" applyFill="1" applyBorder="1" applyAlignment="1">
      <alignment vertical="top" wrapText="1"/>
    </xf>
    <xf numFmtId="0" fontId="15" fillId="10" borderId="34" xfId="0" applyFont="1" applyFill="1" applyBorder="1" applyAlignment="1">
      <alignment vertical="top" wrapText="1"/>
    </xf>
    <xf numFmtId="0" fontId="15" fillId="22" borderId="8" xfId="0" applyFont="1" applyFill="1" applyBorder="1" applyAlignment="1">
      <alignment vertical="top" wrapText="1"/>
    </xf>
    <xf numFmtId="0" fontId="17" fillId="8" borderId="11" xfId="0" applyFont="1" applyFill="1" applyBorder="1" applyAlignment="1">
      <alignment vertical="top" wrapText="1"/>
    </xf>
    <xf numFmtId="0" fontId="17" fillId="8" borderId="12" xfId="0" applyFont="1" applyFill="1" applyBorder="1" applyAlignment="1">
      <alignment vertical="top" wrapText="1"/>
    </xf>
    <xf numFmtId="0" fontId="17" fillId="8" borderId="37" xfId="0" applyFont="1" applyFill="1" applyBorder="1" applyAlignment="1">
      <alignment vertical="top" wrapText="1"/>
    </xf>
    <xf numFmtId="0" fontId="17" fillId="19" borderId="37" xfId="0" applyFont="1" applyFill="1" applyBorder="1" applyAlignment="1">
      <alignment vertical="top" wrapText="1"/>
    </xf>
    <xf numFmtId="0" fontId="17" fillId="26" borderId="11" xfId="0" applyFont="1" applyFill="1" applyBorder="1" applyAlignment="1">
      <alignment vertical="top" wrapText="1"/>
    </xf>
    <xf numFmtId="0" fontId="17" fillId="26" borderId="12" xfId="0" applyFont="1" applyFill="1" applyBorder="1" applyAlignment="1">
      <alignment vertical="top" wrapText="1"/>
    </xf>
    <xf numFmtId="0" fontId="17" fillId="26" borderId="37" xfId="0" applyFont="1" applyFill="1" applyBorder="1" applyAlignment="1">
      <alignment vertical="top" wrapText="1"/>
    </xf>
    <xf numFmtId="0" fontId="39" fillId="34" borderId="42" xfId="0" applyFont="1" applyFill="1" applyBorder="1" applyAlignment="1">
      <alignment horizontal="center" vertical="center"/>
    </xf>
    <xf numFmtId="0" fontId="39" fillId="34" borderId="42" xfId="0" applyFont="1" applyFill="1" applyBorder="1" applyAlignment="1">
      <alignment vertical="center" wrapText="1"/>
    </xf>
    <xf numFmtId="0" fontId="39" fillId="34" borderId="42" xfId="0" applyFont="1" applyFill="1" applyBorder="1" applyAlignment="1">
      <alignment horizontal="center" vertical="center" wrapText="1"/>
    </xf>
    <xf numFmtId="0" fontId="39" fillId="36" borderId="42" xfId="0" applyFont="1" applyFill="1" applyBorder="1" applyAlignment="1">
      <alignment vertical="center" wrapText="1"/>
    </xf>
    <xf numFmtId="0" fontId="39" fillId="36" borderId="42" xfId="0" applyFont="1" applyFill="1" applyBorder="1" applyAlignment="1">
      <alignment wrapText="1"/>
    </xf>
    <xf numFmtId="0" fontId="45" fillId="2" borderId="8" xfId="0" applyFont="1" applyFill="1" applyBorder="1" applyAlignment="1">
      <alignment vertical="top" wrapText="1"/>
    </xf>
    <xf numFmtId="0" fontId="46" fillId="2" borderId="5" xfId="0" applyFont="1" applyFill="1" applyBorder="1">
      <alignment vertical="center"/>
    </xf>
    <xf numFmtId="0" fontId="46" fillId="2" borderId="5" xfId="0" applyFont="1" applyFill="1" applyBorder="1" applyAlignment="1">
      <alignment vertical="top"/>
    </xf>
    <xf numFmtId="0" fontId="47" fillId="2" borderId="1" xfId="0" applyFont="1" applyFill="1" applyBorder="1" applyAlignment="1">
      <alignment vertical="top"/>
    </xf>
    <xf numFmtId="0" fontId="15" fillId="2" borderId="5" xfId="0" applyFont="1" applyFill="1" applyBorder="1" applyAlignment="1">
      <alignment vertical="top"/>
    </xf>
    <xf numFmtId="0" fontId="21" fillId="2" borderId="5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15" fillId="2" borderId="1" xfId="0" applyFont="1" applyFill="1" applyBorder="1" applyAlignment="1">
      <alignment vertical="top"/>
    </xf>
    <xf numFmtId="0" fontId="76" fillId="0" borderId="4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65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177" fontId="77" fillId="3" borderId="3" xfId="0" applyNumberFormat="1" applyFont="1" applyFill="1" applyBorder="1" applyAlignment="1">
      <alignment horizontal="right" vertical="center" indent="1"/>
    </xf>
    <xf numFmtId="0" fontId="78" fillId="2" borderId="1" xfId="0" applyFont="1" applyFill="1" applyBorder="1" applyAlignment="1">
      <alignment horizontal="left"/>
    </xf>
    <xf numFmtId="180" fontId="5" fillId="2" borderId="2" xfId="0" applyNumberFormat="1" applyFont="1" applyFill="1" applyBorder="1" applyAlignment="1">
      <alignment horizontal="center" vertical="center"/>
    </xf>
    <xf numFmtId="180" fontId="79" fillId="2" borderId="2" xfId="0" applyNumberFormat="1" applyFont="1" applyFill="1" applyBorder="1" applyAlignment="1">
      <alignment horizontal="center" vertical="center"/>
    </xf>
    <xf numFmtId="179" fontId="77" fillId="3" borderId="3" xfId="0" applyNumberFormat="1" applyFont="1" applyFill="1" applyBorder="1" applyAlignment="1">
      <alignment horizontal="right" vertical="center" indent="1"/>
    </xf>
    <xf numFmtId="177" fontId="80" fillId="3" borderId="3" xfId="0" applyNumberFormat="1" applyFont="1" applyFill="1" applyBorder="1" applyAlignment="1">
      <alignment horizontal="right" vertical="center" indent="1"/>
    </xf>
    <xf numFmtId="177" fontId="81" fillId="3" borderId="3" xfId="0" applyNumberFormat="1" applyFont="1" applyFill="1" applyBorder="1" applyAlignment="1">
      <alignment horizontal="right" vertical="center" indent="1"/>
    </xf>
    <xf numFmtId="0" fontId="39" fillId="36" borderId="39" xfId="0" applyFont="1" applyFill="1" applyBorder="1" applyAlignment="1">
      <alignment horizontal="left" vertical="center" wrapText="1"/>
    </xf>
    <xf numFmtId="0" fontId="39" fillId="36" borderId="43" xfId="0" applyFont="1" applyFill="1" applyBorder="1" applyAlignment="1">
      <alignment horizontal="left" vertical="center" wrapText="1"/>
    </xf>
    <xf numFmtId="0" fontId="39" fillId="36" borderId="44" xfId="0" applyFont="1" applyFill="1" applyBorder="1" applyAlignment="1">
      <alignment horizontal="left" vertical="center" wrapText="1"/>
    </xf>
    <xf numFmtId="0" fontId="39" fillId="36" borderId="42" xfId="0" applyFont="1" applyFill="1" applyBorder="1" applyAlignment="1">
      <alignment horizontal="left" vertical="center" wrapText="1"/>
    </xf>
    <xf numFmtId="0" fontId="39" fillId="36" borderId="42" xfId="0" applyFont="1" applyFill="1" applyBorder="1" applyAlignment="1">
      <alignment horizontal="left" vertical="center"/>
    </xf>
    <xf numFmtId="0" fontId="40" fillId="35" borderId="39" xfId="0" applyFont="1" applyFill="1" applyBorder="1" applyAlignment="1">
      <alignment horizontal="center" vertical="center" wrapText="1"/>
    </xf>
    <xf numFmtId="0" fontId="40" fillId="35" borderId="43" xfId="0" applyFont="1" applyFill="1" applyBorder="1" applyAlignment="1">
      <alignment horizontal="center" vertical="center" wrapText="1"/>
    </xf>
    <xf numFmtId="0" fontId="41" fillId="35" borderId="39" xfId="0" applyFont="1" applyFill="1" applyBorder="1" applyAlignment="1">
      <alignment horizontal="center" vertical="center" wrapText="1"/>
    </xf>
    <xf numFmtId="0" fontId="43" fillId="2" borderId="43" xfId="0" applyFont="1" applyFill="1" applyBorder="1" applyAlignment="1">
      <alignment horizontal="center" vertical="center" wrapText="1"/>
    </xf>
    <xf numFmtId="0" fontId="44" fillId="2" borderId="44" xfId="0" applyFont="1" applyFill="1" applyBorder="1" applyAlignment="1">
      <alignment horizontal="center" vertical="center" wrapText="1"/>
    </xf>
    <xf numFmtId="0" fontId="44" fillId="2" borderId="43" xfId="0" applyFont="1" applyFill="1" applyBorder="1" applyAlignment="1">
      <alignment horizontal="center" vertical="center" wrapText="1"/>
    </xf>
    <xf numFmtId="0" fontId="39" fillId="2" borderId="39" xfId="0" applyFont="1" applyFill="1" applyBorder="1" applyAlignment="1">
      <alignment horizontal="center" vertical="center"/>
    </xf>
    <xf numFmtId="0" fontId="39" fillId="2" borderId="43" xfId="0" applyFont="1" applyFill="1" applyBorder="1" applyAlignment="1">
      <alignment horizontal="center" vertical="center"/>
    </xf>
    <xf numFmtId="0" fontId="39" fillId="2" borderId="44" xfId="0" applyFont="1" applyFill="1" applyBorder="1" applyAlignment="1">
      <alignment horizontal="center" vertical="center"/>
    </xf>
    <xf numFmtId="0" fontId="39" fillId="2" borderId="42" xfId="0" applyFont="1" applyFill="1" applyBorder="1" applyAlignment="1">
      <alignment horizontal="center" vertical="center"/>
    </xf>
    <xf numFmtId="0" fontId="39" fillId="35" borderId="39" xfId="0" applyFont="1" applyFill="1" applyBorder="1" applyAlignment="1">
      <alignment horizontal="center" vertical="center" wrapText="1"/>
    </xf>
    <xf numFmtId="0" fontId="39" fillId="35" borderId="44" xfId="0" applyFont="1" applyFill="1" applyBorder="1" applyAlignment="1">
      <alignment horizontal="center" vertical="center" wrapText="1"/>
    </xf>
    <xf numFmtId="0" fontId="39" fillId="35" borderId="43" xfId="0" applyFont="1" applyFill="1" applyBorder="1" applyAlignment="1">
      <alignment horizontal="center" vertical="center" wrapText="1"/>
    </xf>
    <xf numFmtId="0" fontId="42" fillId="2" borderId="43" xfId="0" applyFont="1" applyFill="1" applyBorder="1" applyAlignment="1">
      <alignment horizontal="center" vertical="center" wrapText="1"/>
    </xf>
    <xf numFmtId="0" fontId="42" fillId="2" borderId="44" xfId="0" applyFont="1" applyFill="1" applyBorder="1" applyAlignment="1">
      <alignment horizontal="center" vertical="center" wrapText="1"/>
    </xf>
    <xf numFmtId="0" fontId="38" fillId="2" borderId="38" xfId="0" applyFont="1" applyFill="1" applyBorder="1" applyAlignment="1">
      <alignment horizontal="center"/>
    </xf>
    <xf numFmtId="0" fontId="39" fillId="34" borderId="40" xfId="0" applyFont="1" applyFill="1" applyBorder="1" applyAlignment="1">
      <alignment horizontal="center" vertical="center" wrapText="1"/>
    </xf>
    <xf numFmtId="0" fontId="39" fillId="34" borderId="41" xfId="0" applyFont="1" applyFill="1" applyBorder="1" applyAlignment="1">
      <alignment horizontal="center" vertical="center" wrapText="1"/>
    </xf>
    <xf numFmtId="0" fontId="39" fillId="34" borderId="42" xfId="0" applyFont="1" applyFill="1" applyBorder="1" applyAlignment="1">
      <alignment horizontal="center" vertical="center"/>
    </xf>
    <xf numFmtId="0" fontId="39" fillId="34" borderId="39" xfId="0" applyFont="1" applyFill="1" applyBorder="1" applyAlignment="1">
      <alignment horizontal="center" vertical="center"/>
    </xf>
    <xf numFmtId="0" fontId="39" fillId="34" borderId="43" xfId="0" applyFont="1" applyFill="1" applyBorder="1" applyAlignment="1">
      <alignment horizontal="center" vertical="center"/>
    </xf>
    <xf numFmtId="0" fontId="40" fillId="35" borderId="44" xfId="0" applyFont="1" applyFill="1" applyBorder="1" applyAlignment="1">
      <alignment horizontal="center" vertical="center" wrapText="1"/>
    </xf>
    <xf numFmtId="0" fontId="34" fillId="30" borderId="30" xfId="0" applyFont="1" applyFill="1" applyBorder="1" applyAlignment="1">
      <alignment horizontal="center" vertical="center" wrapText="1"/>
    </xf>
    <xf numFmtId="0" fontId="34" fillId="28" borderId="30" xfId="0" applyFont="1" applyFill="1" applyBorder="1" applyAlignment="1">
      <alignment vertical="top"/>
    </xf>
    <xf numFmtId="0" fontId="34" fillId="31" borderId="24" xfId="0" applyFont="1" applyFill="1" applyBorder="1" applyAlignment="1">
      <alignment horizontal="center" vertical="center" wrapText="1"/>
    </xf>
    <xf numFmtId="0" fontId="34" fillId="28" borderId="24" xfId="0" applyFont="1" applyFill="1" applyBorder="1" applyAlignment="1">
      <alignment vertical="top"/>
    </xf>
    <xf numFmtId="0" fontId="34" fillId="30" borderId="31" xfId="0" applyFont="1" applyFill="1" applyBorder="1" applyAlignment="1">
      <alignment horizontal="center" vertical="center" wrapText="1"/>
    </xf>
    <xf numFmtId="0" fontId="34" fillId="28" borderId="31" xfId="0" applyFont="1" applyFill="1" applyBorder="1" applyAlignment="1">
      <alignment vertical="top"/>
    </xf>
    <xf numFmtId="0" fontId="32" fillId="28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vertical="top"/>
    </xf>
    <xf numFmtId="0" fontId="34" fillId="30" borderId="22" xfId="0" applyFont="1" applyFill="1" applyBorder="1" applyAlignment="1">
      <alignment horizontal="center" vertical="center" wrapText="1"/>
    </xf>
    <xf numFmtId="0" fontId="34" fillId="28" borderId="22" xfId="0" applyFont="1" applyFill="1" applyBorder="1" applyAlignment="1">
      <alignment vertical="top"/>
    </xf>
    <xf numFmtId="0" fontId="34" fillId="30" borderId="29" xfId="0" applyFont="1" applyFill="1" applyBorder="1" applyAlignment="1">
      <alignment horizontal="center" vertical="center" wrapText="1"/>
    </xf>
    <xf numFmtId="0" fontId="34" fillId="28" borderId="29" xfId="0" applyFont="1" applyFill="1" applyBorder="1" applyAlignment="1">
      <alignment vertical="top"/>
    </xf>
    <xf numFmtId="0" fontId="3" fillId="2" borderId="5" xfId="0" applyFont="1" applyFill="1" applyBorder="1" applyAlignment="1">
      <alignment horizontal="left"/>
    </xf>
    <xf numFmtId="0" fontId="30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0" borderId="4" xfId="0" applyFont="1" applyBorder="1" applyAlignment="1">
      <alignment vertical="top" wrapText="1"/>
    </xf>
  </cellXfs>
  <cellStyles count="1">
    <cellStyle name="常规" xfId="0" builtinId="0"/>
  </cellStyles>
  <dxfs count="18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3</xdr:row>
      <xdr:rowOff>342900</xdr:rowOff>
    </xdr:from>
    <xdr:to>
      <xdr:col>2</xdr:col>
      <xdr:colOff>1569720</xdr:colOff>
      <xdr:row>3</xdr:row>
      <xdr:rowOff>861060</xdr:rowOff>
    </xdr:to>
    <xdr:sp macro="" textlink="">
      <xdr:nvSpPr>
        <xdr:cNvPr id="4" name="圆角矩形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26310" y="1466850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Sprint06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365760</xdr:colOff>
      <xdr:row>7</xdr:row>
      <xdr:rowOff>358140</xdr:rowOff>
    </xdr:from>
    <xdr:to>
      <xdr:col>3</xdr:col>
      <xdr:colOff>1584960</xdr:colOff>
      <xdr:row>7</xdr:row>
      <xdr:rowOff>876300</xdr:rowOff>
    </xdr:to>
    <xdr:sp macro="" textlink="">
      <xdr:nvSpPr>
        <xdr:cNvPr id="5" name="圆角矩形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944620" y="3996690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Sprint07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388620</xdr:colOff>
      <xdr:row>11</xdr:row>
      <xdr:rowOff>327660</xdr:rowOff>
    </xdr:from>
    <xdr:to>
      <xdr:col>4</xdr:col>
      <xdr:colOff>1607820</xdr:colOff>
      <xdr:row>11</xdr:row>
      <xdr:rowOff>845820</xdr:rowOff>
    </xdr:to>
    <xdr:sp macro="" textlink="">
      <xdr:nvSpPr>
        <xdr:cNvPr id="6" name="圆角矩形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670550" y="6480810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Sprint08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3</xdr:row>
      <xdr:rowOff>327660</xdr:rowOff>
    </xdr:from>
    <xdr:to>
      <xdr:col>4</xdr:col>
      <xdr:colOff>1607820</xdr:colOff>
      <xdr:row>3</xdr:row>
      <xdr:rowOff>845820</xdr:rowOff>
    </xdr:to>
    <xdr:sp macro="" textlink="">
      <xdr:nvSpPr>
        <xdr:cNvPr id="7" name="圆角矩形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670550" y="1451610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Sprint08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388620</xdr:colOff>
      <xdr:row>3</xdr:row>
      <xdr:rowOff>327660</xdr:rowOff>
    </xdr:from>
    <xdr:to>
      <xdr:col>4</xdr:col>
      <xdr:colOff>1607820</xdr:colOff>
      <xdr:row>3</xdr:row>
      <xdr:rowOff>845820</xdr:rowOff>
    </xdr:to>
    <xdr:sp macro="" textlink="">
      <xdr:nvSpPr>
        <xdr:cNvPr id="8" name="圆角矩形 5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670550" y="1451610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Sprint08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373380</xdr:colOff>
      <xdr:row>7</xdr:row>
      <xdr:rowOff>327660</xdr:rowOff>
    </xdr:from>
    <xdr:to>
      <xdr:col>4</xdr:col>
      <xdr:colOff>1592580</xdr:colOff>
      <xdr:row>7</xdr:row>
      <xdr:rowOff>845820</xdr:rowOff>
    </xdr:to>
    <xdr:sp macro="" textlink="">
      <xdr:nvSpPr>
        <xdr:cNvPr id="9" name="圆角矩形 7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7467600" y="3962400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Sprint09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373380</xdr:colOff>
      <xdr:row>13</xdr:row>
      <xdr:rowOff>335280</xdr:rowOff>
    </xdr:from>
    <xdr:to>
      <xdr:col>1</xdr:col>
      <xdr:colOff>1592580</xdr:colOff>
      <xdr:row>13</xdr:row>
      <xdr:rowOff>853440</xdr:rowOff>
    </xdr:to>
    <xdr:sp macro="" textlink="">
      <xdr:nvSpPr>
        <xdr:cNvPr id="10" name="圆角矩形 6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326005" y="7736205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Sprint10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373380</xdr:colOff>
      <xdr:row>3</xdr:row>
      <xdr:rowOff>335280</xdr:rowOff>
    </xdr:from>
    <xdr:to>
      <xdr:col>1</xdr:col>
      <xdr:colOff>1592580</xdr:colOff>
      <xdr:row>3</xdr:row>
      <xdr:rowOff>853440</xdr:rowOff>
    </xdr:to>
    <xdr:sp macro="" textlink="">
      <xdr:nvSpPr>
        <xdr:cNvPr id="11" name="圆角矩形 5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554355" y="7736205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Sprint10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373380</xdr:colOff>
      <xdr:row>5</xdr:row>
      <xdr:rowOff>312420</xdr:rowOff>
    </xdr:from>
    <xdr:to>
      <xdr:col>5</xdr:col>
      <xdr:colOff>1592580</xdr:colOff>
      <xdr:row>5</xdr:row>
      <xdr:rowOff>830580</xdr:rowOff>
    </xdr:to>
    <xdr:sp macro="" textlink="">
      <xdr:nvSpPr>
        <xdr:cNvPr id="12" name="圆角矩形 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2278380" y="3947160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Sprint11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365760</xdr:colOff>
      <xdr:row>9</xdr:row>
      <xdr:rowOff>342900</xdr:rowOff>
    </xdr:from>
    <xdr:to>
      <xdr:col>5</xdr:col>
      <xdr:colOff>1584960</xdr:colOff>
      <xdr:row>9</xdr:row>
      <xdr:rowOff>861060</xdr:rowOff>
    </xdr:to>
    <xdr:sp macro="" textlink="">
      <xdr:nvSpPr>
        <xdr:cNvPr id="13" name="圆角矩形 6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2270760" y="6492240"/>
          <a:ext cx="121920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Sprint12</a:t>
          </a:r>
          <a:endParaRPr lang="zh-CN" alt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342900</xdr:colOff>
      <xdr:row>11</xdr:row>
      <xdr:rowOff>352425</xdr:rowOff>
    </xdr:from>
    <xdr:ext cx="1276350" cy="5905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342900</xdr:colOff>
      <xdr:row>3</xdr:row>
      <xdr:rowOff>381000</xdr:rowOff>
    </xdr:from>
    <xdr:ext cx="1209675" cy="58102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314325</xdr:colOff>
      <xdr:row>7</xdr:row>
      <xdr:rowOff>352425</xdr:rowOff>
    </xdr:from>
    <xdr:ext cx="1276350" cy="609600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323850</xdr:colOff>
      <xdr:row>3</xdr:row>
      <xdr:rowOff>342900</xdr:rowOff>
    </xdr:from>
    <xdr:ext cx="1257300" cy="590550"/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247650</xdr:colOff>
      <xdr:row>11</xdr:row>
      <xdr:rowOff>333375</xdr:rowOff>
    </xdr:from>
    <xdr:ext cx="1257300" cy="600075"/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257175</xdr:colOff>
      <xdr:row>7</xdr:row>
      <xdr:rowOff>342900</xdr:rowOff>
    </xdr:from>
    <xdr:ext cx="1343025" cy="638175"/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238125</xdr:colOff>
      <xdr:row>3</xdr:row>
      <xdr:rowOff>342900</xdr:rowOff>
    </xdr:from>
    <xdr:ext cx="1343025" cy="638175"/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266700</xdr:colOff>
      <xdr:row>11</xdr:row>
      <xdr:rowOff>333375</xdr:rowOff>
    </xdr:from>
    <xdr:ext cx="1343025" cy="638175"/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5</xdr:row>
      <xdr:rowOff>342900</xdr:rowOff>
    </xdr:from>
    <xdr:ext cx="1238250" cy="590550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314325</xdr:colOff>
      <xdr:row>9</xdr:row>
      <xdr:rowOff>381000</xdr:rowOff>
    </xdr:from>
    <xdr:ext cx="1276350" cy="600075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5</xdr:row>
      <xdr:rowOff>400050</xdr:rowOff>
    </xdr:from>
    <xdr:ext cx="1209675" cy="571500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304800</xdr:colOff>
      <xdr:row>11</xdr:row>
      <xdr:rowOff>361950</xdr:rowOff>
    </xdr:from>
    <xdr:ext cx="1304925" cy="619125"/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361950</xdr:colOff>
      <xdr:row>7</xdr:row>
      <xdr:rowOff>400050</xdr:rowOff>
    </xdr:from>
    <xdr:ext cx="1228725" cy="590550"/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9</xdr:row>
      <xdr:rowOff>390525</xdr:rowOff>
    </xdr:from>
    <xdr:ext cx="1247775" cy="590550"/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304800</xdr:colOff>
      <xdr:row>3</xdr:row>
      <xdr:rowOff>361950</xdr:rowOff>
    </xdr:from>
    <xdr:ext cx="1304925" cy="609600"/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19050</xdr:colOff>
      <xdr:row>12</xdr:row>
      <xdr:rowOff>28575</xdr:rowOff>
    </xdr:from>
    <xdr:ext cx="561975" cy="257175"/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11</xdr:row>
      <xdr:rowOff>628650</xdr:rowOff>
    </xdr:from>
    <xdr:ext cx="723900" cy="342900"/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371475</xdr:colOff>
      <xdr:row>2</xdr:row>
      <xdr:rowOff>28575</xdr:rowOff>
    </xdr:from>
    <xdr:ext cx="714375" cy="333375"/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28575</xdr:colOff>
      <xdr:row>7</xdr:row>
      <xdr:rowOff>533400</xdr:rowOff>
    </xdr:from>
    <xdr:ext cx="895350" cy="419100"/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Monthly Calendar">
      <a:dk1>
        <a:sysClr val="windowText" lastClr="000000"/>
      </a:dk1>
      <a:lt1>
        <a:sysClr val="window" lastClr="FFFFFF"/>
      </a:lt1>
      <a:dk2>
        <a:srgbClr val="122A2D"/>
      </a:dk2>
      <a:lt2>
        <a:srgbClr val="FFF8F2"/>
      </a:lt2>
      <a:accent1>
        <a:srgbClr val="47A6B5"/>
      </a:accent1>
      <a:accent2>
        <a:srgbClr val="FB933B"/>
      </a:accent2>
      <a:accent3>
        <a:srgbClr val="EAC235"/>
      </a:accent3>
      <a:accent4>
        <a:srgbClr val="6BC081"/>
      </a:accent4>
      <a:accent5>
        <a:srgbClr val="E66F3F"/>
      </a:accent5>
      <a:accent6>
        <a:srgbClr val="8F6B7D"/>
      </a:accent6>
      <a:hlink>
        <a:srgbClr val="47A6B5"/>
      </a:hlink>
      <a:folHlink>
        <a:srgbClr val="8F6B7D"/>
      </a:folHlink>
    </a:clrScheme>
    <a:fontScheme name="123b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>
            <a:lumMod val="95000"/>
          </a:schemeClr>
        </a:solidFill>
        <a:ln w="6350" cmpd="sng">
          <a:noFill/>
        </a:ln>
      </a:spPr>
      <a:bodyPr vertOverflow="clip" horzOverflow="clip" wrap="square" rtlCol="0" anchor="t"/>
      <a:lstStyle>
        <a:defPPr>
          <a:defRPr sz="1400">
            <a:solidFill>
              <a:schemeClr val="tx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.weixin.qq.com/sheet/e3_AVMAkAY2AJ89Q0Osp21Qne1PB0EQ1?scode=ALgASQcQABInL1P7DrAVMAkAY2AJ8&amp;version=4.1.30.6008&amp;platform=w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efinition of Milestones（2023）"/>
  <dimension ref="A1:Z17"/>
  <sheetViews>
    <sheetView workbookViewId="0"/>
  </sheetViews>
  <sheetFormatPr baseColWidth="10" defaultColWidth="7.5" defaultRowHeight="24"/>
  <cols>
    <col min="1" max="1" width="17.33203125" style="143" customWidth="1"/>
    <col min="2" max="2" width="20.6640625" style="143" customWidth="1"/>
    <col min="3" max="3" width="20.83203125" style="143" customWidth="1"/>
    <col min="4" max="4" width="55" style="143" customWidth="1"/>
    <col min="5" max="5" width="46.6640625" style="143" customWidth="1"/>
    <col min="6" max="6" width="45.6640625" style="143" customWidth="1"/>
    <col min="7" max="26" width="7.5" style="143"/>
  </cols>
  <sheetData>
    <row r="1" spans="1:6" ht="29">
      <c r="A1" s="182" t="s">
        <v>214</v>
      </c>
      <c r="B1" s="182"/>
      <c r="C1" s="182"/>
      <c r="D1" s="182"/>
      <c r="E1" s="182"/>
      <c r="F1" s="182"/>
    </row>
    <row r="2" spans="1:6">
      <c r="A2" s="186" t="s">
        <v>215</v>
      </c>
      <c r="B2" s="183" t="s">
        <v>216</v>
      </c>
      <c r="C2" s="184"/>
      <c r="D2" s="185" t="s">
        <v>217</v>
      </c>
      <c r="E2" s="185"/>
      <c r="F2" s="185"/>
    </row>
    <row r="3" spans="1:6" ht="40">
      <c r="A3" s="187"/>
      <c r="B3" s="137" t="s">
        <v>218</v>
      </c>
      <c r="C3" s="138" t="s">
        <v>219</v>
      </c>
      <c r="D3" s="136" t="s">
        <v>220</v>
      </c>
      <c r="E3" s="136" t="s">
        <v>221</v>
      </c>
      <c r="F3" s="136" t="s">
        <v>222</v>
      </c>
    </row>
    <row r="4" spans="1:6" ht="61.25" customHeight="1">
      <c r="A4" s="173" t="s">
        <v>223</v>
      </c>
      <c r="B4" s="177" t="s">
        <v>224</v>
      </c>
      <c r="C4" s="167" t="s">
        <v>224</v>
      </c>
      <c r="D4" s="139" t="s">
        <v>225</v>
      </c>
      <c r="E4" s="162" t="s">
        <v>226</v>
      </c>
      <c r="F4" s="162" t="s">
        <v>344</v>
      </c>
    </row>
    <row r="5" spans="1:6" ht="56.5" customHeight="1">
      <c r="A5" s="175"/>
      <c r="B5" s="178"/>
      <c r="C5" s="188"/>
      <c r="D5" s="139" t="s">
        <v>227</v>
      </c>
      <c r="E5" s="164"/>
      <c r="F5" s="164"/>
    </row>
    <row r="6" spans="1:6" s="142" customFormat="1" ht="43.25" customHeight="1">
      <c r="A6" s="174"/>
      <c r="B6" s="179"/>
      <c r="C6" s="168"/>
      <c r="D6" s="139" t="s">
        <v>228</v>
      </c>
      <c r="E6" s="164"/>
      <c r="F6" s="163"/>
    </row>
    <row r="7" spans="1:6" s="142" customFormat="1" ht="104.5" customHeight="1">
      <c r="A7" s="173" t="s">
        <v>229</v>
      </c>
      <c r="B7" s="177" t="s">
        <v>230</v>
      </c>
      <c r="C7" s="167" t="s">
        <v>231</v>
      </c>
      <c r="D7" s="139" t="s">
        <v>232</v>
      </c>
      <c r="E7" s="164"/>
      <c r="F7" s="162" t="s">
        <v>233</v>
      </c>
    </row>
    <row r="8" spans="1:6" s="142" customFormat="1" ht="62.5" customHeight="1">
      <c r="A8" s="174"/>
      <c r="B8" s="179"/>
      <c r="C8" s="168"/>
      <c r="D8" s="139" t="s">
        <v>234</v>
      </c>
      <c r="E8" s="163"/>
      <c r="F8" s="163"/>
    </row>
    <row r="9" spans="1:6" s="142" customFormat="1" ht="65" customHeight="1">
      <c r="A9" s="173" t="s">
        <v>235</v>
      </c>
      <c r="B9" s="177" t="s">
        <v>236</v>
      </c>
      <c r="C9" s="169" t="s">
        <v>237</v>
      </c>
      <c r="D9" s="139" t="s">
        <v>238</v>
      </c>
      <c r="E9" s="162" t="s">
        <v>239</v>
      </c>
      <c r="F9" s="162" t="s">
        <v>240</v>
      </c>
    </row>
    <row r="10" spans="1:6" s="142" customFormat="1" ht="63.5" customHeight="1">
      <c r="A10" s="174"/>
      <c r="B10" s="180"/>
      <c r="C10" s="170"/>
      <c r="D10" s="139" t="s">
        <v>241</v>
      </c>
      <c r="E10" s="164"/>
      <c r="F10" s="164"/>
    </row>
    <row r="11" spans="1:6" s="142" customFormat="1" ht="40">
      <c r="A11" s="173" t="s">
        <v>242</v>
      </c>
      <c r="B11" s="177" t="s">
        <v>243</v>
      </c>
      <c r="C11" s="167" t="s">
        <v>244</v>
      </c>
      <c r="D11" s="139" t="s">
        <v>134</v>
      </c>
      <c r="E11" s="162" t="s">
        <v>245</v>
      </c>
      <c r="F11" s="162" t="s">
        <v>246</v>
      </c>
    </row>
    <row r="12" spans="1:6" s="142" customFormat="1" ht="60">
      <c r="A12" s="175"/>
      <c r="B12" s="181"/>
      <c r="C12" s="171"/>
      <c r="D12" s="139" t="s">
        <v>135</v>
      </c>
      <c r="E12" s="164"/>
      <c r="F12" s="164"/>
    </row>
    <row r="13" spans="1:6" s="142" customFormat="1" ht="40">
      <c r="A13" s="174"/>
      <c r="B13" s="180"/>
      <c r="C13" s="172"/>
      <c r="D13" s="139" t="s">
        <v>247</v>
      </c>
      <c r="E13" s="164"/>
      <c r="F13" s="164"/>
    </row>
    <row r="14" spans="1:6" ht="53.5" customHeight="1">
      <c r="A14" s="176" t="s">
        <v>248</v>
      </c>
      <c r="B14" s="177" t="s">
        <v>249</v>
      </c>
      <c r="C14" s="167" t="s">
        <v>243</v>
      </c>
      <c r="D14" s="140" t="s">
        <v>250</v>
      </c>
      <c r="E14" s="165" t="s">
        <v>251</v>
      </c>
      <c r="F14" s="165" t="s">
        <v>252</v>
      </c>
    </row>
    <row r="15" spans="1:6" ht="60">
      <c r="A15" s="176"/>
      <c r="B15" s="181"/>
      <c r="C15" s="171"/>
      <c r="D15" s="140" t="s">
        <v>253</v>
      </c>
      <c r="E15" s="165"/>
      <c r="F15" s="166"/>
    </row>
    <row r="16" spans="1:6" ht="40">
      <c r="A16" s="176"/>
      <c r="B16" s="181"/>
      <c r="C16" s="171"/>
      <c r="D16" s="140" t="s">
        <v>254</v>
      </c>
      <c r="E16" s="165"/>
      <c r="F16" s="166"/>
    </row>
    <row r="17" spans="1:6" ht="40">
      <c r="A17" s="176"/>
      <c r="B17" s="180"/>
      <c r="C17" s="172"/>
      <c r="D17" s="140" t="s">
        <v>255</v>
      </c>
      <c r="E17" s="165"/>
      <c r="F17" s="166"/>
    </row>
  </sheetData>
  <mergeCells count="28">
    <mergeCell ref="A1:F1"/>
    <mergeCell ref="B2:C2"/>
    <mergeCell ref="D2:F2"/>
    <mergeCell ref="A2:A3"/>
    <mergeCell ref="A4:A6"/>
    <mergeCell ref="C4:C6"/>
    <mergeCell ref="F4:F6"/>
    <mergeCell ref="A7:A8"/>
    <mergeCell ref="A9:A10"/>
    <mergeCell ref="A11:A13"/>
    <mergeCell ref="A14:A17"/>
    <mergeCell ref="B4:B6"/>
    <mergeCell ref="B7:B8"/>
    <mergeCell ref="B9:B10"/>
    <mergeCell ref="B11:B13"/>
    <mergeCell ref="B14:B17"/>
    <mergeCell ref="F7:F8"/>
    <mergeCell ref="F9:F10"/>
    <mergeCell ref="F11:F13"/>
    <mergeCell ref="F14:F17"/>
    <mergeCell ref="C7:C8"/>
    <mergeCell ref="C9:C10"/>
    <mergeCell ref="C11:C13"/>
    <mergeCell ref="C14:C17"/>
    <mergeCell ref="E4:E8"/>
    <mergeCell ref="E9:E10"/>
    <mergeCell ref="E11:E13"/>
    <mergeCell ref="E14:E17"/>
  </mergeCells>
  <phoneticPr fontId="7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2024 Milestones"/>
  <dimension ref="A1:Z66"/>
  <sheetViews>
    <sheetView workbookViewId="0"/>
  </sheetViews>
  <sheetFormatPr baseColWidth="10" defaultRowHeight="24"/>
  <cols>
    <col min="1" max="1" width="17.33203125" style="144" customWidth="1"/>
    <col min="2" max="2" width="67" style="144" customWidth="1"/>
    <col min="3" max="3" width="20.83203125" style="144" customWidth="1"/>
    <col min="4" max="4" width="55" style="144" customWidth="1"/>
    <col min="5" max="5" width="46.6640625" style="144" customWidth="1"/>
    <col min="6" max="6" width="45.6640625" style="144" customWidth="1"/>
    <col min="7" max="26" width="7.5" style="144"/>
  </cols>
  <sheetData>
    <row r="1" spans="1:2">
      <c r="A1" s="195" t="s">
        <v>89</v>
      </c>
      <c r="B1" s="196"/>
    </row>
    <row r="2" spans="1:2">
      <c r="A2" s="87" t="s">
        <v>90</v>
      </c>
      <c r="B2" s="88"/>
    </row>
    <row r="3" spans="1:2">
      <c r="A3" s="89" t="s">
        <v>91</v>
      </c>
      <c r="B3" s="90" t="s">
        <v>92</v>
      </c>
    </row>
    <row r="4" spans="1:2">
      <c r="A4" s="91" t="s">
        <v>93</v>
      </c>
      <c r="B4" s="92" t="s">
        <v>94</v>
      </c>
    </row>
    <row r="5" spans="1:2" ht="34">
      <c r="A5" s="191" t="s">
        <v>95</v>
      </c>
      <c r="B5" s="94" t="s">
        <v>96</v>
      </c>
    </row>
    <row r="6" spans="1:2">
      <c r="A6" s="192"/>
      <c r="B6" s="95" t="s">
        <v>97</v>
      </c>
    </row>
    <row r="7" spans="1:2">
      <c r="A7" s="192"/>
      <c r="B7" s="95" t="s">
        <v>98</v>
      </c>
    </row>
    <row r="8" spans="1:2">
      <c r="A8" s="197" t="s">
        <v>99</v>
      </c>
      <c r="B8" s="96" t="s">
        <v>100</v>
      </c>
    </row>
    <row r="9" spans="1:2">
      <c r="A9" s="198"/>
      <c r="B9" s="97" t="s">
        <v>101</v>
      </c>
    </row>
    <row r="10" spans="1:2">
      <c r="A10" s="198"/>
      <c r="B10" s="97" t="s">
        <v>102</v>
      </c>
    </row>
    <row r="11" spans="1:2">
      <c r="A11" s="198"/>
      <c r="B11" s="97" t="s">
        <v>103</v>
      </c>
    </row>
    <row r="12" spans="1:2">
      <c r="A12" s="93" t="s">
        <v>104</v>
      </c>
      <c r="B12" s="98" t="s">
        <v>105</v>
      </c>
    </row>
    <row r="13" spans="1:2">
      <c r="A13" s="88"/>
      <c r="B13" s="88"/>
    </row>
    <row r="14" spans="1:2">
      <c r="A14" s="88"/>
      <c r="B14" s="88"/>
    </row>
    <row r="15" spans="1:2">
      <c r="A15" s="87" t="s">
        <v>106</v>
      </c>
      <c r="B15" s="88"/>
    </row>
    <row r="16" spans="1:2">
      <c r="A16" s="89" t="s">
        <v>91</v>
      </c>
      <c r="B16" s="90" t="s">
        <v>92</v>
      </c>
    </row>
    <row r="17" spans="1:2">
      <c r="A17" s="91" t="s">
        <v>93</v>
      </c>
      <c r="B17" s="92" t="s">
        <v>107</v>
      </c>
    </row>
    <row r="18" spans="1:2">
      <c r="A18" s="99" t="s">
        <v>95</v>
      </c>
      <c r="B18" s="94" t="s">
        <v>108</v>
      </c>
    </row>
    <row r="19" spans="1:2">
      <c r="A19" s="100" t="s">
        <v>109</v>
      </c>
      <c r="B19" s="95" t="s">
        <v>110</v>
      </c>
    </row>
    <row r="20" spans="1:2">
      <c r="A20" s="199" t="s">
        <v>99</v>
      </c>
      <c r="B20" s="96" t="s">
        <v>111</v>
      </c>
    </row>
    <row r="21" spans="1:2">
      <c r="A21" s="200"/>
      <c r="B21" s="97" t="s">
        <v>112</v>
      </c>
    </row>
    <row r="22" spans="1:2">
      <c r="A22" s="200"/>
      <c r="B22" s="97" t="s">
        <v>113</v>
      </c>
    </row>
    <row r="23" spans="1:2">
      <c r="A23" s="200"/>
      <c r="B23" s="97" t="s">
        <v>114</v>
      </c>
    </row>
    <row r="24" spans="1:2">
      <c r="A24" s="200"/>
      <c r="B24" s="97" t="s">
        <v>115</v>
      </c>
    </row>
    <row r="25" spans="1:2">
      <c r="A25" s="93" t="s">
        <v>104</v>
      </c>
      <c r="B25" s="98" t="s">
        <v>105</v>
      </c>
    </row>
    <row r="26" spans="1:2">
      <c r="A26" s="101"/>
      <c r="B26" s="101"/>
    </row>
    <row r="27" spans="1:2">
      <c r="A27" s="101"/>
      <c r="B27" s="101"/>
    </row>
    <row r="28" spans="1:2">
      <c r="A28" s="87" t="s">
        <v>116</v>
      </c>
      <c r="B28" s="88"/>
    </row>
    <row r="29" spans="1:2">
      <c r="A29" s="89" t="s">
        <v>91</v>
      </c>
      <c r="B29" s="90" t="s">
        <v>92</v>
      </c>
    </row>
    <row r="30" spans="1:2">
      <c r="A30" s="91" t="s">
        <v>93</v>
      </c>
      <c r="B30" s="92" t="s">
        <v>117</v>
      </c>
    </row>
    <row r="31" spans="1:2" ht="51">
      <c r="A31" s="191" t="s">
        <v>95</v>
      </c>
      <c r="B31" s="94" t="s">
        <v>118</v>
      </c>
    </row>
    <row r="32" spans="1:2">
      <c r="A32" s="192"/>
      <c r="B32" s="95" t="s">
        <v>119</v>
      </c>
    </row>
    <row r="33" spans="1:2">
      <c r="A33" s="192"/>
      <c r="B33" s="95" t="s">
        <v>120</v>
      </c>
    </row>
    <row r="34" spans="1:2">
      <c r="A34" s="189" t="s">
        <v>99</v>
      </c>
      <c r="B34" s="96" t="s">
        <v>121</v>
      </c>
    </row>
    <row r="35" spans="1:2">
      <c r="A35" s="190"/>
      <c r="B35" s="97" t="s">
        <v>122</v>
      </c>
    </row>
    <row r="36" spans="1:2">
      <c r="A36" s="190"/>
      <c r="B36" s="97" t="s">
        <v>123</v>
      </c>
    </row>
    <row r="37" spans="1:2">
      <c r="A37" s="190"/>
      <c r="B37" s="97" t="s">
        <v>124</v>
      </c>
    </row>
    <row r="38" spans="1:2">
      <c r="A38" s="190"/>
      <c r="B38" s="97" t="s">
        <v>125</v>
      </c>
    </row>
    <row r="39" spans="1:2">
      <c r="A39" s="190"/>
      <c r="B39" s="97" t="s">
        <v>126</v>
      </c>
    </row>
    <row r="40" spans="1:2">
      <c r="A40" s="190"/>
      <c r="B40" s="97" t="s">
        <v>127</v>
      </c>
    </row>
    <row r="41" spans="1:2">
      <c r="A41" s="190"/>
      <c r="B41" s="97" t="s">
        <v>128</v>
      </c>
    </row>
    <row r="42" spans="1:2">
      <c r="A42" s="190"/>
      <c r="B42" s="97" t="s">
        <v>129</v>
      </c>
    </row>
    <row r="43" spans="1:2">
      <c r="A43" s="190"/>
      <c r="B43" s="97" t="s">
        <v>130</v>
      </c>
    </row>
    <row r="44" spans="1:2">
      <c r="A44" s="190"/>
      <c r="B44" s="97" t="s">
        <v>131</v>
      </c>
    </row>
    <row r="45" spans="1:2">
      <c r="A45" s="93" t="s">
        <v>104</v>
      </c>
      <c r="B45" s="98" t="s">
        <v>105</v>
      </c>
    </row>
    <row r="46" spans="1:2">
      <c r="A46" s="101"/>
      <c r="B46" s="101"/>
    </row>
    <row r="47" spans="1:2">
      <c r="A47" s="101"/>
      <c r="B47" s="101"/>
    </row>
    <row r="48" spans="1:2">
      <c r="A48" s="87" t="s">
        <v>132</v>
      </c>
      <c r="B48" s="88"/>
    </row>
    <row r="49" spans="1:2">
      <c r="A49" s="89" t="s">
        <v>91</v>
      </c>
      <c r="B49" s="90" t="s">
        <v>92</v>
      </c>
    </row>
    <row r="50" spans="1:2">
      <c r="A50" s="91" t="s">
        <v>93</v>
      </c>
      <c r="B50" s="92" t="s">
        <v>133</v>
      </c>
    </row>
    <row r="51" spans="1:2" ht="34">
      <c r="A51" s="191" t="s">
        <v>95</v>
      </c>
      <c r="B51" s="94" t="s">
        <v>134</v>
      </c>
    </row>
    <row r="52" spans="1:2" ht="34">
      <c r="A52" s="192"/>
      <c r="B52" s="95" t="s">
        <v>135</v>
      </c>
    </row>
    <row r="53" spans="1:2" ht="34">
      <c r="A53" s="192"/>
      <c r="B53" s="95" t="s">
        <v>136</v>
      </c>
    </row>
    <row r="54" spans="1:2" ht="34">
      <c r="A54" s="102" t="s">
        <v>109</v>
      </c>
      <c r="B54" s="95" t="s">
        <v>137</v>
      </c>
    </row>
    <row r="55" spans="1:2">
      <c r="A55" s="193" t="s">
        <v>99</v>
      </c>
      <c r="B55" s="103" t="s">
        <v>138</v>
      </c>
    </row>
    <row r="56" spans="1:2">
      <c r="A56" s="194"/>
      <c r="B56" s="104" t="s">
        <v>139</v>
      </c>
    </row>
    <row r="57" spans="1:2">
      <c r="A57" s="194"/>
      <c r="B57" s="104" t="s">
        <v>140</v>
      </c>
    </row>
    <row r="58" spans="1:2">
      <c r="A58" s="194"/>
      <c r="B58" s="104" t="s">
        <v>141</v>
      </c>
    </row>
    <row r="59" spans="1:2">
      <c r="A59" s="194"/>
      <c r="B59" s="104" t="s">
        <v>142</v>
      </c>
    </row>
    <row r="60" spans="1:2">
      <c r="A60" s="194"/>
      <c r="B60" s="104" t="s">
        <v>143</v>
      </c>
    </row>
    <row r="61" spans="1:2">
      <c r="A61" s="194"/>
      <c r="B61" s="104" t="s">
        <v>144</v>
      </c>
    </row>
    <row r="62" spans="1:2">
      <c r="A62" s="194"/>
      <c r="B62" s="104" t="s">
        <v>145</v>
      </c>
    </row>
    <row r="63" spans="1:2">
      <c r="A63" s="194"/>
      <c r="B63" s="104" t="s">
        <v>146</v>
      </c>
    </row>
    <row r="64" spans="1:2">
      <c r="A64" s="194"/>
      <c r="B64" s="104" t="s">
        <v>147</v>
      </c>
    </row>
    <row r="65" spans="1:2">
      <c r="A65" s="194"/>
      <c r="B65" s="104" t="s">
        <v>148</v>
      </c>
    </row>
    <row r="66" spans="1:2">
      <c r="A66" s="93" t="s">
        <v>104</v>
      </c>
      <c r="B66" s="93" t="s">
        <v>105</v>
      </c>
    </row>
  </sheetData>
  <mergeCells count="8">
    <mergeCell ref="A34:A44"/>
    <mergeCell ref="A51:A53"/>
    <mergeCell ref="A55:A65"/>
    <mergeCell ref="A1:B1"/>
    <mergeCell ref="A5:A7"/>
    <mergeCell ref="A8:A11"/>
    <mergeCell ref="A20:A24"/>
    <mergeCell ref="A31:A33"/>
  </mergeCells>
  <phoneticPr fontId="7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  <pageSetUpPr fitToPage="1"/>
  </sheetPr>
  <dimension ref="B1:H14"/>
  <sheetViews>
    <sheetView showGridLines="0" showRuler="0" workbookViewId="0"/>
  </sheetViews>
  <sheetFormatPr baseColWidth="10" defaultColWidth="8.83203125" defaultRowHeight="16"/>
  <cols>
    <col min="1" max="1" width="2.1640625" customWidth="1"/>
    <col min="2" max="8" width="20.6640625" customWidth="1"/>
  </cols>
  <sheetData>
    <row r="1" spans="2:8" ht="45" customHeight="1">
      <c r="B1" s="17">
        <f ca="1">YEAR(TODAY())</f>
        <v>2025</v>
      </c>
      <c r="C1" s="201" t="s">
        <v>0</v>
      </c>
      <c r="D1" s="201"/>
      <c r="E1" s="18" t="s">
        <v>1</v>
      </c>
    </row>
    <row r="2" spans="2:8" ht="19.5" customHeight="1">
      <c r="B2" s="19">
        <v>45068</v>
      </c>
      <c r="C2" s="19">
        <v>45069</v>
      </c>
      <c r="D2" s="19">
        <v>45070</v>
      </c>
      <c r="E2" s="19">
        <v>45071</v>
      </c>
      <c r="F2" s="19">
        <v>45072</v>
      </c>
      <c r="G2" s="19">
        <v>45073</v>
      </c>
      <c r="H2" s="19">
        <v>45074</v>
      </c>
    </row>
    <row r="3" spans="2:8" ht="24" customHeight="1">
      <c r="B3" s="20">
        <v>45075</v>
      </c>
      <c r="C3" s="20">
        <v>45076</v>
      </c>
      <c r="D3" s="20">
        <v>45077</v>
      </c>
      <c r="E3" s="20">
        <v>45078</v>
      </c>
      <c r="F3" s="20">
        <v>45079</v>
      </c>
      <c r="G3" s="20">
        <v>45080</v>
      </c>
      <c r="H3" s="20">
        <v>45081</v>
      </c>
    </row>
    <row r="4" spans="2:8" s="145" customFormat="1" ht="75" customHeight="1">
      <c r="B4" s="21"/>
      <c r="C4" s="22" t="s">
        <v>14</v>
      </c>
      <c r="D4" s="22" t="s">
        <v>15</v>
      </c>
      <c r="E4" s="22" t="s">
        <v>16</v>
      </c>
      <c r="F4" s="22" t="s">
        <v>8</v>
      </c>
      <c r="G4" s="21"/>
      <c r="H4" s="21"/>
    </row>
    <row r="5" spans="2:8" ht="24" customHeight="1">
      <c r="B5" s="23">
        <v>45082</v>
      </c>
      <c r="C5" s="23">
        <v>45083</v>
      </c>
      <c r="D5" s="23">
        <v>45084</v>
      </c>
      <c r="E5" s="23">
        <v>45085</v>
      </c>
      <c r="F5" s="23">
        <v>45086</v>
      </c>
      <c r="G5" s="23">
        <v>45087</v>
      </c>
      <c r="H5" s="23">
        <v>45088</v>
      </c>
    </row>
    <row r="6" spans="2:8" s="145" customFormat="1" ht="75" customHeight="1">
      <c r="B6" s="22" t="s">
        <v>17</v>
      </c>
      <c r="C6" s="22" t="s">
        <v>275</v>
      </c>
      <c r="D6" s="22" t="s">
        <v>18</v>
      </c>
      <c r="E6" s="22" t="s">
        <v>19</v>
      </c>
      <c r="F6" s="22" t="s">
        <v>276</v>
      </c>
      <c r="G6" s="21"/>
      <c r="H6" s="21"/>
    </row>
    <row r="7" spans="2:8" ht="24" customHeight="1">
      <c r="B7" s="23">
        <v>45089</v>
      </c>
      <c r="C7" s="23">
        <v>45090</v>
      </c>
      <c r="D7" s="23">
        <v>45091</v>
      </c>
      <c r="E7" s="23">
        <v>45092</v>
      </c>
      <c r="F7" s="23">
        <v>45093</v>
      </c>
      <c r="G7" s="23">
        <v>45094</v>
      </c>
      <c r="H7" s="23">
        <v>45095</v>
      </c>
    </row>
    <row r="8" spans="2:8" s="145" customFormat="1" ht="75" customHeight="1">
      <c r="B8" s="22" t="s">
        <v>277</v>
      </c>
      <c r="C8" s="24" t="s">
        <v>278</v>
      </c>
      <c r="D8" s="22" t="s">
        <v>20</v>
      </c>
      <c r="E8" s="22" t="s">
        <v>21</v>
      </c>
      <c r="F8" s="22" t="s">
        <v>7</v>
      </c>
      <c r="G8" s="21"/>
      <c r="H8" s="21"/>
    </row>
    <row r="9" spans="2:8" ht="24" customHeight="1">
      <c r="B9" s="23">
        <v>45096</v>
      </c>
      <c r="C9" s="23">
        <v>45097</v>
      </c>
      <c r="D9" s="23">
        <v>45098</v>
      </c>
      <c r="E9" s="23">
        <v>45099</v>
      </c>
      <c r="F9" s="23">
        <v>45100</v>
      </c>
      <c r="G9" s="23">
        <v>45101</v>
      </c>
      <c r="H9" s="23">
        <v>45102</v>
      </c>
    </row>
    <row r="10" spans="2:8" s="145" customFormat="1" ht="75" customHeight="1">
      <c r="B10" s="22" t="s">
        <v>279</v>
      </c>
      <c r="C10" s="22" t="s">
        <v>22</v>
      </c>
      <c r="D10" s="22" t="s">
        <v>2</v>
      </c>
      <c r="E10" s="25" t="s">
        <v>5</v>
      </c>
      <c r="F10" s="25" t="s">
        <v>5</v>
      </c>
      <c r="G10" s="25" t="s">
        <v>5</v>
      </c>
      <c r="H10" s="26" t="s">
        <v>23</v>
      </c>
    </row>
    <row r="11" spans="2:8" ht="24" customHeight="1">
      <c r="B11" s="23">
        <v>45103</v>
      </c>
      <c r="C11" s="23">
        <v>45104</v>
      </c>
      <c r="D11" s="23">
        <v>45105</v>
      </c>
      <c r="E11" s="23">
        <v>45106</v>
      </c>
      <c r="F11" s="23">
        <v>45107</v>
      </c>
      <c r="G11" s="23">
        <v>45108</v>
      </c>
      <c r="H11" s="23">
        <v>45109</v>
      </c>
    </row>
    <row r="12" spans="2:8" s="145" customFormat="1" ht="75" customHeight="1">
      <c r="B12" s="22" t="s">
        <v>280</v>
      </c>
      <c r="C12" s="22" t="s">
        <v>281</v>
      </c>
      <c r="D12" s="22" t="s">
        <v>24</v>
      </c>
      <c r="E12" s="22" t="s">
        <v>20</v>
      </c>
      <c r="F12" s="22" t="s">
        <v>21</v>
      </c>
      <c r="G12" s="21"/>
      <c r="H12" s="21"/>
    </row>
    <row r="13" spans="2:8" ht="23.25" hidden="1" customHeight="1">
      <c r="B13" s="23" t="e">
        <f>INDEX(日历,ndx+5)</f>
        <v>#NAME?</v>
      </c>
      <c r="C13" s="23"/>
      <c r="D13" s="23"/>
      <c r="E13" s="23"/>
      <c r="F13" s="23"/>
      <c r="G13" s="23"/>
      <c r="H13" s="23"/>
    </row>
    <row r="14" spans="2:8" s="145" customFormat="1" ht="75" hidden="1" customHeight="1">
      <c r="B14" s="27" t="s">
        <v>21</v>
      </c>
      <c r="C14" s="27" t="s">
        <v>7</v>
      </c>
      <c r="D14" s="27" t="s">
        <v>8</v>
      </c>
      <c r="E14" s="27" t="s">
        <v>12</v>
      </c>
      <c r="F14" s="27" t="s">
        <v>2</v>
      </c>
      <c r="G14" s="21"/>
      <c r="H14" s="21"/>
    </row>
  </sheetData>
  <mergeCells count="1">
    <mergeCell ref="C1:D1"/>
  </mergeCells>
  <phoneticPr fontId="75" type="noConversion"/>
  <conditionalFormatting sqref="B5:H5">
    <cfRule type="expression" dxfId="186" priority="1">
      <formula>MonthToDisplayNumber&lt;&gt;MONTH(B5)</formula>
    </cfRule>
  </conditionalFormatting>
  <conditionalFormatting sqref="B3:H3">
    <cfRule type="expression" dxfId="185" priority="2">
      <formula>MonthToDisplayNumber&lt;&gt;MONTH(B3)</formula>
    </cfRule>
  </conditionalFormatting>
  <conditionalFormatting sqref="B13:H13">
    <cfRule type="expression" dxfId="184" priority="3">
      <formula>MonthToDisplayNumber&lt;&gt;MONTH(B13)</formula>
    </cfRule>
  </conditionalFormatting>
  <conditionalFormatting sqref="B11:H11">
    <cfRule type="expression" dxfId="183" priority="4">
      <formula>MonthToDisplayNumber&lt;&gt;MONTH(B11)</formula>
    </cfRule>
  </conditionalFormatting>
  <conditionalFormatting sqref="B9:H9">
    <cfRule type="expression" dxfId="182" priority="5">
      <formula>MonthToDisplayNumber&lt;&gt;MONTH(B9)</formula>
    </cfRule>
  </conditionalFormatting>
  <conditionalFormatting sqref="B7:H7">
    <cfRule type="expression" dxfId="181" priority="6">
      <formula>MonthToDisplayNumber&lt;&gt;MONTH(B7)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3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3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  <pageSetUpPr fitToPage="1"/>
  </sheetPr>
  <dimension ref="B1:H14"/>
  <sheetViews>
    <sheetView showGridLines="0" showRuler="0" workbookViewId="0"/>
  </sheetViews>
  <sheetFormatPr baseColWidth="10" defaultColWidth="8.83203125" defaultRowHeight="16"/>
  <cols>
    <col min="1" max="1" width="2.1640625" customWidth="1"/>
    <col min="2" max="8" width="20.6640625" customWidth="1"/>
  </cols>
  <sheetData>
    <row r="1" spans="2:8" ht="45" customHeight="1">
      <c r="B1" s="17">
        <f ca="1">YEAR(TODAY())</f>
        <v>2025</v>
      </c>
      <c r="C1" s="201" t="s">
        <v>25</v>
      </c>
      <c r="D1" s="201"/>
      <c r="E1" s="18" t="s">
        <v>1</v>
      </c>
    </row>
    <row r="2" spans="2:8" ht="19.5" customHeight="1">
      <c r="B2" s="19">
        <v>45096</v>
      </c>
      <c r="C2" s="19">
        <v>45097</v>
      </c>
      <c r="D2" s="19">
        <v>45098</v>
      </c>
      <c r="E2" s="19">
        <v>45099</v>
      </c>
      <c r="F2" s="19">
        <v>45100</v>
      </c>
      <c r="G2" s="19">
        <v>45101</v>
      </c>
      <c r="H2" s="19">
        <v>45102</v>
      </c>
    </row>
    <row r="3" spans="2:8" ht="24" customHeight="1">
      <c r="B3" s="20">
        <v>45103</v>
      </c>
      <c r="C3" s="20">
        <v>45104</v>
      </c>
      <c r="D3" s="20">
        <v>45105</v>
      </c>
      <c r="E3" s="20">
        <v>45106</v>
      </c>
      <c r="F3" s="20">
        <v>45107</v>
      </c>
      <c r="G3" s="20">
        <v>45108</v>
      </c>
      <c r="H3" s="20">
        <v>45109</v>
      </c>
    </row>
    <row r="4" spans="2:8" ht="75" customHeight="1">
      <c r="B4" s="22" t="s">
        <v>280</v>
      </c>
      <c r="C4" s="22" t="s">
        <v>281</v>
      </c>
      <c r="D4" s="22" t="s">
        <v>24</v>
      </c>
      <c r="E4" s="22" t="s">
        <v>151</v>
      </c>
      <c r="F4" s="22" t="s">
        <v>21</v>
      </c>
      <c r="G4" s="141"/>
      <c r="H4" s="141"/>
    </row>
    <row r="5" spans="2:8" ht="24" customHeight="1">
      <c r="B5" s="23">
        <v>45110</v>
      </c>
      <c r="C5" s="23">
        <v>45111</v>
      </c>
      <c r="D5" s="23">
        <v>45112</v>
      </c>
      <c r="E5" s="23">
        <v>45113</v>
      </c>
      <c r="F5" s="23">
        <v>45114</v>
      </c>
      <c r="G5" s="23">
        <v>45115</v>
      </c>
      <c r="H5" s="23">
        <v>45116</v>
      </c>
    </row>
    <row r="6" spans="2:8" s="145" customFormat="1" ht="75" customHeight="1">
      <c r="B6" s="22" t="s">
        <v>7</v>
      </c>
      <c r="C6" s="22" t="s">
        <v>279</v>
      </c>
      <c r="D6" s="22" t="s">
        <v>256</v>
      </c>
      <c r="E6" s="22" t="s">
        <v>2</v>
      </c>
      <c r="F6" s="22" t="s">
        <v>18</v>
      </c>
      <c r="G6" s="21"/>
      <c r="H6" s="21"/>
    </row>
    <row r="7" spans="2:8" ht="24" customHeight="1">
      <c r="B7" s="23">
        <v>45117</v>
      </c>
      <c r="C7" s="23">
        <v>45118</v>
      </c>
      <c r="D7" s="23">
        <v>45119</v>
      </c>
      <c r="E7" s="23">
        <v>45120</v>
      </c>
      <c r="F7" s="23">
        <v>45121</v>
      </c>
      <c r="G7" s="23">
        <v>45122</v>
      </c>
      <c r="H7" s="23">
        <v>45123</v>
      </c>
    </row>
    <row r="8" spans="2:8" s="145" customFormat="1" ht="75" customHeight="1">
      <c r="B8" s="22" t="s">
        <v>280</v>
      </c>
      <c r="C8" s="22" t="s">
        <v>281</v>
      </c>
      <c r="D8" s="22" t="s">
        <v>24</v>
      </c>
      <c r="E8" s="22" t="s">
        <v>151</v>
      </c>
      <c r="F8" s="22" t="s">
        <v>6</v>
      </c>
      <c r="G8" s="21"/>
      <c r="H8" s="21"/>
    </row>
    <row r="9" spans="2:8" ht="24" customHeight="1">
      <c r="B9" s="23">
        <v>45124</v>
      </c>
      <c r="C9" s="23">
        <v>45125</v>
      </c>
      <c r="D9" s="23">
        <v>45126</v>
      </c>
      <c r="E9" s="23">
        <v>45127</v>
      </c>
      <c r="F9" s="23">
        <v>45128</v>
      </c>
      <c r="G9" s="23">
        <v>45129</v>
      </c>
      <c r="H9" s="23">
        <v>45130</v>
      </c>
    </row>
    <row r="10" spans="2:8" s="145" customFormat="1" ht="75" customHeight="1">
      <c r="B10" s="22" t="s">
        <v>7</v>
      </c>
      <c r="C10" s="22" t="s">
        <v>257</v>
      </c>
      <c r="D10" s="22" t="s">
        <v>345</v>
      </c>
      <c r="E10" s="22" t="s">
        <v>258</v>
      </c>
      <c r="F10" s="22" t="s">
        <v>259</v>
      </c>
      <c r="G10" s="21"/>
      <c r="H10" s="21"/>
    </row>
    <row r="11" spans="2:8" ht="24" customHeight="1">
      <c r="B11" s="23">
        <v>45131</v>
      </c>
      <c r="C11" s="23">
        <v>45132</v>
      </c>
      <c r="D11" s="23">
        <v>45133</v>
      </c>
      <c r="E11" s="23">
        <v>45134</v>
      </c>
      <c r="F11" s="23">
        <v>45135</v>
      </c>
      <c r="G11" s="23">
        <v>45136</v>
      </c>
      <c r="H11" s="23">
        <v>45137</v>
      </c>
    </row>
    <row r="12" spans="2:8" s="145" customFormat="1" ht="75" customHeight="1">
      <c r="B12" s="22" t="s">
        <v>260</v>
      </c>
      <c r="C12" s="22" t="s">
        <v>346</v>
      </c>
      <c r="D12" s="22" t="s">
        <v>347</v>
      </c>
      <c r="E12" s="22" t="s">
        <v>348</v>
      </c>
      <c r="F12" s="22" t="s">
        <v>349</v>
      </c>
      <c r="G12" s="21"/>
      <c r="H12" s="21"/>
    </row>
    <row r="13" spans="2:8" ht="23.25" customHeight="1">
      <c r="B13" s="23">
        <v>45138</v>
      </c>
      <c r="C13" s="23">
        <v>45139</v>
      </c>
      <c r="D13" s="23">
        <v>45140</v>
      </c>
      <c r="E13" s="23">
        <v>45141</v>
      </c>
      <c r="F13" s="23">
        <v>45142</v>
      </c>
      <c r="G13" s="23">
        <v>45143</v>
      </c>
      <c r="H13" s="23">
        <v>45144</v>
      </c>
    </row>
    <row r="14" spans="2:8" s="145" customFormat="1" ht="75" customHeight="1">
      <c r="B14" s="22" t="s">
        <v>151</v>
      </c>
      <c r="C14" s="22" t="s">
        <v>6</v>
      </c>
      <c r="D14" s="22" t="s">
        <v>261</v>
      </c>
      <c r="E14" s="22" t="s">
        <v>262</v>
      </c>
      <c r="F14" s="22" t="s">
        <v>263</v>
      </c>
      <c r="G14" s="21"/>
      <c r="H14" s="21"/>
    </row>
  </sheetData>
  <mergeCells count="1">
    <mergeCell ref="C1:D1"/>
  </mergeCells>
  <phoneticPr fontId="75" type="noConversion"/>
  <conditionalFormatting sqref="B13:H13">
    <cfRule type="expression" dxfId="180" priority="1">
      <formula>MonthToDisplayNumber&lt;&gt;MONTH(B13)</formula>
    </cfRule>
  </conditionalFormatting>
  <conditionalFormatting sqref="B3:H3">
    <cfRule type="expression" dxfId="179" priority="2">
      <formula>MonthToDisplayNumber&lt;&gt;MONTH(B3)</formula>
    </cfRule>
  </conditionalFormatting>
  <conditionalFormatting sqref="B11:H11">
    <cfRule type="expression" dxfId="178" priority="3">
      <formula>MonthToDisplayNumber&lt;&gt;MONTH(B11)</formula>
    </cfRule>
  </conditionalFormatting>
  <conditionalFormatting sqref="B9:H9">
    <cfRule type="expression" dxfId="177" priority="4">
      <formula>MonthToDisplayNumber&lt;&gt;MONTH(B9)</formula>
    </cfRule>
  </conditionalFormatting>
  <conditionalFormatting sqref="B7:H7">
    <cfRule type="expression" dxfId="176" priority="5">
      <formula>MonthToDisplayNumber&lt;&gt;MONTH(B7)</formula>
    </cfRule>
  </conditionalFormatting>
  <conditionalFormatting sqref="B5:H5">
    <cfRule type="expression" dxfId="175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4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4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theme="4" tint="-0.499984740745262"/>
    <pageSetUpPr fitToPage="1"/>
  </sheetPr>
  <dimension ref="B1:H14"/>
  <sheetViews>
    <sheetView showGridLines="0" showRuler="0" topLeftCell="A2" workbookViewId="0"/>
  </sheetViews>
  <sheetFormatPr baseColWidth="10" defaultColWidth="8.83203125" defaultRowHeight="16"/>
  <cols>
    <col min="1" max="1" width="2.1640625" customWidth="1"/>
    <col min="2" max="8" width="20.6640625" customWidth="1"/>
  </cols>
  <sheetData>
    <row r="1" spans="2:8" ht="45" customHeight="1">
      <c r="B1" s="17">
        <f ca="1">YEAR(TODAY())</f>
        <v>2025</v>
      </c>
      <c r="C1" s="201" t="s">
        <v>150</v>
      </c>
      <c r="D1" s="201"/>
      <c r="E1" s="18" t="s">
        <v>1</v>
      </c>
    </row>
    <row r="2" spans="2:8" ht="19.5" customHeight="1">
      <c r="B2" s="19">
        <v>45131</v>
      </c>
      <c r="C2" s="19">
        <v>45132</v>
      </c>
      <c r="D2" s="19">
        <v>45133</v>
      </c>
      <c r="E2" s="19">
        <v>45134</v>
      </c>
      <c r="F2" s="19">
        <v>45135</v>
      </c>
      <c r="G2" s="19">
        <v>45136</v>
      </c>
      <c r="H2" s="19">
        <v>45137</v>
      </c>
    </row>
    <row r="3" spans="2:8" ht="24" customHeight="1">
      <c r="B3" s="20">
        <v>45138</v>
      </c>
      <c r="C3" s="20">
        <v>45139</v>
      </c>
      <c r="D3" s="20">
        <v>45140</v>
      </c>
      <c r="E3" s="20">
        <v>45141</v>
      </c>
      <c r="F3" s="20">
        <v>45142</v>
      </c>
      <c r="G3" s="20">
        <v>45143</v>
      </c>
      <c r="H3" s="20">
        <v>45144</v>
      </c>
    </row>
    <row r="4" spans="2:8" s="145" customFormat="1" ht="75" customHeight="1">
      <c r="B4" s="22" t="s">
        <v>151</v>
      </c>
      <c r="C4" s="22" t="s">
        <v>6</v>
      </c>
      <c r="D4" s="22" t="s">
        <v>152</v>
      </c>
      <c r="E4" s="22" t="s">
        <v>153</v>
      </c>
      <c r="F4" s="22" t="s">
        <v>154</v>
      </c>
      <c r="G4" s="21"/>
      <c r="H4" s="21"/>
    </row>
    <row r="5" spans="2:8" ht="24" customHeight="1">
      <c r="B5" s="23">
        <v>45145</v>
      </c>
      <c r="C5" s="23">
        <v>45146</v>
      </c>
      <c r="D5" s="23">
        <v>45147</v>
      </c>
      <c r="E5" s="23">
        <v>45148</v>
      </c>
      <c r="F5" s="23">
        <v>45149</v>
      </c>
      <c r="G5" s="23">
        <v>45150</v>
      </c>
      <c r="H5" s="23">
        <v>45151</v>
      </c>
    </row>
    <row r="6" spans="2:8" s="145" customFormat="1" ht="75" customHeight="1">
      <c r="B6" s="22" t="s">
        <v>155</v>
      </c>
      <c r="C6" s="22" t="s">
        <v>156</v>
      </c>
      <c r="D6" s="22" t="s">
        <v>157</v>
      </c>
      <c r="E6" s="22" t="s">
        <v>158</v>
      </c>
      <c r="F6" s="22" t="s">
        <v>151</v>
      </c>
      <c r="G6" s="21"/>
      <c r="H6" s="21"/>
    </row>
    <row r="7" spans="2:8" ht="24" customHeight="1">
      <c r="B7" s="23">
        <v>45152</v>
      </c>
      <c r="C7" s="23">
        <v>45153</v>
      </c>
      <c r="D7" s="23">
        <v>45154</v>
      </c>
      <c r="E7" s="23">
        <v>45155</v>
      </c>
      <c r="F7" s="23">
        <v>45156</v>
      </c>
      <c r="G7" s="23">
        <v>45157</v>
      </c>
      <c r="H7" s="23">
        <v>45158</v>
      </c>
    </row>
    <row r="8" spans="2:8" s="145" customFormat="1" ht="75" customHeight="1">
      <c r="B8" s="22" t="s">
        <v>6</v>
      </c>
      <c r="C8" s="22" t="s">
        <v>322</v>
      </c>
      <c r="D8" s="22" t="s">
        <v>8</v>
      </c>
      <c r="E8" s="22" t="s">
        <v>159</v>
      </c>
      <c r="F8" s="22" t="s">
        <v>160</v>
      </c>
      <c r="G8" s="21"/>
      <c r="H8" s="21"/>
    </row>
    <row r="9" spans="2:8" ht="24" customHeight="1">
      <c r="B9" s="23">
        <v>45159</v>
      </c>
      <c r="C9" s="23">
        <v>45160</v>
      </c>
      <c r="D9" s="23">
        <v>45161</v>
      </c>
      <c r="E9" s="23">
        <v>45162</v>
      </c>
      <c r="F9" s="23">
        <v>45163</v>
      </c>
      <c r="G9" s="23">
        <v>45164</v>
      </c>
      <c r="H9" s="23">
        <v>45165</v>
      </c>
    </row>
    <row r="10" spans="2:8" s="145" customFormat="1" ht="75" customHeight="1">
      <c r="B10" s="22" t="s">
        <v>161</v>
      </c>
      <c r="C10" s="22" t="s">
        <v>162</v>
      </c>
      <c r="D10" s="22" t="s">
        <v>281</v>
      </c>
      <c r="E10" s="22" t="s">
        <v>24</v>
      </c>
      <c r="F10" s="22" t="s">
        <v>151</v>
      </c>
      <c r="G10" s="21"/>
      <c r="H10" s="21"/>
    </row>
    <row r="11" spans="2:8" ht="24" customHeight="1">
      <c r="B11" s="23">
        <v>45166</v>
      </c>
      <c r="C11" s="23">
        <v>45167</v>
      </c>
      <c r="D11" s="23">
        <v>45168</v>
      </c>
      <c r="E11" s="23">
        <v>45169</v>
      </c>
      <c r="F11" s="23">
        <v>45170</v>
      </c>
      <c r="G11" s="23">
        <v>45171</v>
      </c>
      <c r="H11" s="23">
        <v>45172</v>
      </c>
    </row>
    <row r="12" spans="2:8" s="145" customFormat="1" ht="75" customHeight="1">
      <c r="B12" s="22" t="s">
        <v>6</v>
      </c>
      <c r="C12" s="22" t="s">
        <v>322</v>
      </c>
      <c r="D12" s="22" t="s">
        <v>8</v>
      </c>
      <c r="E12" s="22" t="s">
        <v>17</v>
      </c>
      <c r="F12" s="22" t="s">
        <v>160</v>
      </c>
      <c r="G12" s="21"/>
      <c r="H12" s="21"/>
    </row>
    <row r="13" spans="2:8" ht="23.25" hidden="1" customHeight="1">
      <c r="B13" s="23" t="e">
        <f>INDEX(日历,ndx+5)</f>
        <v>#NAME?</v>
      </c>
      <c r="C13" s="23"/>
      <c r="D13" s="23"/>
      <c r="E13" s="23"/>
      <c r="F13" s="23"/>
      <c r="G13" s="23"/>
      <c r="H13" s="23"/>
    </row>
    <row r="14" spans="2:8" s="145" customFormat="1" ht="75" hidden="1" customHeight="1">
      <c r="B14" s="21"/>
      <c r="C14" s="21"/>
      <c r="D14" s="21"/>
      <c r="E14" s="21"/>
      <c r="F14" s="21"/>
      <c r="G14" s="21"/>
      <c r="H14" s="21"/>
    </row>
  </sheetData>
  <mergeCells count="1">
    <mergeCell ref="C1:D1"/>
  </mergeCells>
  <phoneticPr fontId="75" type="noConversion"/>
  <conditionalFormatting sqref="B3:H3">
    <cfRule type="expression" dxfId="174" priority="1">
      <formula>MonthToDisplayNumber&lt;&gt;MONTH(B3)</formula>
    </cfRule>
  </conditionalFormatting>
  <conditionalFormatting sqref="B13:H13">
    <cfRule type="expression" dxfId="173" priority="2">
      <formula>MonthToDisplayNumber&lt;&gt;MONTH(B13)</formula>
    </cfRule>
  </conditionalFormatting>
  <conditionalFormatting sqref="B11:H11">
    <cfRule type="expression" dxfId="172" priority="3">
      <formula>MonthToDisplayNumber&lt;&gt;MONTH(B11)</formula>
    </cfRule>
  </conditionalFormatting>
  <conditionalFormatting sqref="B9:H9">
    <cfRule type="expression" dxfId="171" priority="4">
      <formula>MonthToDisplayNumber&lt;&gt;MONTH(B9)</formula>
    </cfRule>
  </conditionalFormatting>
  <conditionalFormatting sqref="B7:H7">
    <cfRule type="expression" dxfId="170" priority="5">
      <formula>MonthToDisplayNumber&lt;&gt;MONTH(B7)</formula>
    </cfRule>
  </conditionalFormatting>
  <conditionalFormatting sqref="B5:H5">
    <cfRule type="expression" dxfId="169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5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5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499984740745262"/>
    <pageSetUpPr fitToPage="1"/>
  </sheetPr>
  <dimension ref="A1:Z14"/>
  <sheetViews>
    <sheetView showGridLines="0" showRuler="0" topLeftCell="A4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2:8" ht="45" customHeight="1">
      <c r="B1" s="17">
        <v>2024</v>
      </c>
      <c r="C1" s="201" t="s">
        <v>192</v>
      </c>
      <c r="D1" s="201"/>
      <c r="E1" s="18" t="s">
        <v>1</v>
      </c>
    </row>
    <row r="2" spans="2:8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8" ht="24" customHeight="1" thickTop="1">
      <c r="B3" s="54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</row>
    <row r="4" spans="2:8" s="145" customFormat="1" ht="75" customHeight="1">
      <c r="B4" s="25" t="s">
        <v>66</v>
      </c>
      <c r="C4" s="22" t="s">
        <v>193</v>
      </c>
      <c r="D4" s="22" t="s">
        <v>20</v>
      </c>
      <c r="E4" s="22" t="s">
        <v>21</v>
      </c>
      <c r="F4" s="22" t="s">
        <v>39</v>
      </c>
      <c r="G4" s="32"/>
      <c r="H4" s="32"/>
    </row>
    <row r="5" spans="2:8" ht="24" customHeight="1">
      <c r="B5" s="23">
        <v>8</v>
      </c>
      <c r="C5" s="23">
        <v>9</v>
      </c>
      <c r="D5" s="23">
        <v>10</v>
      </c>
      <c r="E5" s="23">
        <v>11</v>
      </c>
      <c r="F5" s="23">
        <v>12</v>
      </c>
      <c r="G5" s="23">
        <v>13</v>
      </c>
      <c r="H5" s="23">
        <v>14</v>
      </c>
    </row>
    <row r="6" spans="2:8" s="145" customFormat="1" ht="75" customHeight="1">
      <c r="B6" s="22" t="s">
        <v>333</v>
      </c>
      <c r="C6" s="22" t="s">
        <v>17</v>
      </c>
      <c r="D6" s="22" t="s">
        <v>194</v>
      </c>
      <c r="E6" s="22" t="s">
        <v>334</v>
      </c>
      <c r="F6" s="22" t="s">
        <v>19</v>
      </c>
      <c r="G6" s="32"/>
      <c r="H6" s="32"/>
    </row>
    <row r="7" spans="2:8" ht="24" customHeight="1">
      <c r="B7" s="23">
        <v>15</v>
      </c>
      <c r="C7" s="23">
        <v>16</v>
      </c>
      <c r="D7" s="23">
        <v>17</v>
      </c>
      <c r="E7" s="23">
        <v>18</v>
      </c>
      <c r="F7" s="23">
        <v>19</v>
      </c>
      <c r="G7" s="23">
        <v>20</v>
      </c>
      <c r="H7" s="23">
        <v>21</v>
      </c>
    </row>
    <row r="8" spans="2:8" s="145" customFormat="1" ht="75" customHeight="1">
      <c r="B8" s="22" t="s">
        <v>335</v>
      </c>
      <c r="C8" s="22" t="s">
        <v>193</v>
      </c>
      <c r="D8" s="22" t="s">
        <v>20</v>
      </c>
      <c r="E8" s="22" t="s">
        <v>21</v>
      </c>
      <c r="F8" s="22" t="s">
        <v>195</v>
      </c>
      <c r="G8" s="21"/>
      <c r="H8" s="21"/>
    </row>
    <row r="9" spans="2:8" ht="24" customHeight="1">
      <c r="B9" s="23">
        <v>22</v>
      </c>
      <c r="C9" s="23">
        <v>23</v>
      </c>
      <c r="D9" s="23">
        <v>24</v>
      </c>
      <c r="E9" s="23">
        <v>25</v>
      </c>
      <c r="F9" s="23">
        <v>26</v>
      </c>
      <c r="G9" s="23">
        <v>27</v>
      </c>
      <c r="H9" s="23">
        <v>28</v>
      </c>
    </row>
    <row r="10" spans="2:8" s="145" customFormat="1" ht="75" customHeight="1">
      <c r="B10" s="22" t="s">
        <v>336</v>
      </c>
      <c r="C10" s="22" t="s">
        <v>17</v>
      </c>
      <c r="D10" s="42" t="s">
        <v>196</v>
      </c>
      <c r="E10" s="22" t="s">
        <v>337</v>
      </c>
      <c r="F10" s="127" t="s">
        <v>338</v>
      </c>
      <c r="G10" s="21"/>
      <c r="H10" s="21"/>
    </row>
    <row r="11" spans="2:8" ht="24" customHeight="1">
      <c r="B11" s="23">
        <v>29</v>
      </c>
      <c r="C11" s="23">
        <v>30</v>
      </c>
      <c r="D11" s="23">
        <v>31</v>
      </c>
      <c r="E11" s="23">
        <v>1</v>
      </c>
      <c r="F11" s="23">
        <v>2</v>
      </c>
      <c r="G11" s="23">
        <v>3</v>
      </c>
      <c r="H11" s="23">
        <v>4</v>
      </c>
    </row>
    <row r="12" spans="2:8" s="145" customFormat="1" ht="75" customHeight="1">
      <c r="B12" s="42" t="s">
        <v>291</v>
      </c>
      <c r="C12" s="42" t="s">
        <v>45</v>
      </c>
      <c r="D12" s="42" t="s">
        <v>46</v>
      </c>
      <c r="E12" s="42" t="s">
        <v>47</v>
      </c>
      <c r="F12" s="22" t="s">
        <v>292</v>
      </c>
      <c r="G12" s="32"/>
      <c r="H12" s="55" t="s">
        <v>48</v>
      </c>
    </row>
    <row r="13" spans="2:8" ht="23.25" customHeight="1">
      <c r="B13" s="23">
        <v>5</v>
      </c>
      <c r="C13" s="23">
        <v>6</v>
      </c>
      <c r="D13" s="23">
        <v>7</v>
      </c>
      <c r="E13" s="23">
        <v>8</v>
      </c>
      <c r="F13" s="23">
        <v>9</v>
      </c>
      <c r="G13" s="23">
        <v>10</v>
      </c>
      <c r="H13" s="23">
        <v>11</v>
      </c>
    </row>
    <row r="14" spans="2:8" s="145" customFormat="1" ht="75" customHeight="1">
      <c r="B14" s="42" t="s">
        <v>49</v>
      </c>
      <c r="C14" s="42" t="s">
        <v>50</v>
      </c>
      <c r="D14" s="128" t="s">
        <v>197</v>
      </c>
      <c r="E14" s="128" t="s">
        <v>197</v>
      </c>
      <c r="F14" s="128" t="s">
        <v>197</v>
      </c>
      <c r="G14" s="25" t="s">
        <v>198</v>
      </c>
      <c r="H14" s="25" t="s">
        <v>199</v>
      </c>
    </row>
  </sheetData>
  <mergeCells count="1">
    <mergeCell ref="C1:D1"/>
  </mergeCells>
  <phoneticPr fontId="75" type="noConversion"/>
  <conditionalFormatting sqref="B3:H3">
    <cfRule type="expression" dxfId="168" priority="1">
      <formula>MonthToDisplayNumber&lt;&gt;MONTH(B3)</formula>
    </cfRule>
  </conditionalFormatting>
  <conditionalFormatting sqref="B13:H13">
    <cfRule type="expression" dxfId="167" priority="2">
      <formula>MonthToDisplayNumber&lt;&gt;MONTH(B13)</formula>
    </cfRule>
  </conditionalFormatting>
  <conditionalFormatting sqref="B11:H11">
    <cfRule type="expression" dxfId="166" priority="3">
      <formula>MonthToDisplayNumber&lt;&gt;MONTH(B11)</formula>
    </cfRule>
  </conditionalFormatting>
  <conditionalFormatting sqref="B9:H9">
    <cfRule type="expression" dxfId="165" priority="4">
      <formula>MonthToDisplayNumber&lt;&gt;MONTH(B9)</formula>
    </cfRule>
  </conditionalFormatting>
  <conditionalFormatting sqref="B7:H7">
    <cfRule type="expression" dxfId="164" priority="5">
      <formula>MonthToDisplayNumber&lt;&gt;MONTH(B7)</formula>
    </cfRule>
  </conditionalFormatting>
  <conditionalFormatting sqref="B5:H5">
    <cfRule type="expression" dxfId="163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6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6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  <pageSetUpPr fitToPage="1"/>
  </sheetPr>
  <dimension ref="A1:Z12"/>
  <sheetViews>
    <sheetView showGridLines="0" showRuler="0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2:10" ht="45" customHeight="1">
      <c r="B1" s="17">
        <v>2024</v>
      </c>
      <c r="C1" s="201" t="s">
        <v>44</v>
      </c>
      <c r="D1" s="201"/>
      <c r="E1" s="18" t="s">
        <v>1</v>
      </c>
    </row>
    <row r="2" spans="2:10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10" ht="24" customHeight="1" thickTop="1">
      <c r="B3" s="53">
        <v>29</v>
      </c>
      <c r="C3" s="53">
        <v>30</v>
      </c>
      <c r="D3" s="54">
        <v>31</v>
      </c>
      <c r="E3" s="54">
        <v>1</v>
      </c>
      <c r="F3" s="54">
        <v>2</v>
      </c>
      <c r="G3" s="54">
        <v>3</v>
      </c>
      <c r="H3" s="54">
        <v>4</v>
      </c>
    </row>
    <row r="4" spans="2:10" s="145" customFormat="1" ht="75" customHeight="1">
      <c r="B4" s="42" t="s">
        <v>291</v>
      </c>
      <c r="C4" s="42" t="s">
        <v>45</v>
      </c>
      <c r="D4" s="42" t="s">
        <v>46</v>
      </c>
      <c r="E4" s="42" t="s">
        <v>47</v>
      </c>
      <c r="F4" s="22" t="s">
        <v>292</v>
      </c>
      <c r="G4" s="32"/>
      <c r="H4" s="55" t="s">
        <v>48</v>
      </c>
    </row>
    <row r="5" spans="2:10" ht="24" customHeight="1">
      <c r="B5" s="23">
        <v>5</v>
      </c>
      <c r="C5" s="23">
        <v>6</v>
      </c>
      <c r="D5" s="23">
        <v>7</v>
      </c>
      <c r="E5" s="23">
        <v>8</v>
      </c>
      <c r="F5" s="23">
        <v>9</v>
      </c>
      <c r="G5" s="23">
        <v>10</v>
      </c>
      <c r="H5" s="23">
        <v>11</v>
      </c>
    </row>
    <row r="6" spans="2:10" s="145" customFormat="1" ht="75" customHeight="1">
      <c r="B6" s="42" t="s">
        <v>49</v>
      </c>
      <c r="C6" s="42" t="s">
        <v>50</v>
      </c>
      <c r="D6" s="56" t="s">
        <v>51</v>
      </c>
      <c r="E6" s="57" t="s">
        <v>52</v>
      </c>
      <c r="F6" s="57" t="s">
        <v>53</v>
      </c>
      <c r="G6" s="58" t="s">
        <v>54</v>
      </c>
      <c r="H6" s="58" t="s">
        <v>55</v>
      </c>
      <c r="J6" s="59" t="s">
        <v>56</v>
      </c>
    </row>
    <row r="7" spans="2:10" ht="24" customHeight="1">
      <c r="B7" s="23">
        <v>12</v>
      </c>
      <c r="C7" s="23">
        <v>13</v>
      </c>
      <c r="D7" s="23">
        <v>14</v>
      </c>
      <c r="E7" s="23">
        <v>15</v>
      </c>
      <c r="F7" s="23">
        <v>16</v>
      </c>
      <c r="G7" s="23">
        <v>17</v>
      </c>
      <c r="H7" s="23">
        <v>18</v>
      </c>
    </row>
    <row r="8" spans="2:10" s="145" customFormat="1" ht="75" customHeight="1">
      <c r="B8" s="60" t="s">
        <v>57</v>
      </c>
      <c r="C8" s="58" t="s">
        <v>58</v>
      </c>
      <c r="D8" s="58" t="s">
        <v>59</v>
      </c>
      <c r="E8" s="58" t="s">
        <v>60</v>
      </c>
      <c r="F8" s="58" t="s">
        <v>61</v>
      </c>
      <c r="G8" s="58" t="s">
        <v>62</v>
      </c>
      <c r="H8" s="55" t="s">
        <v>63</v>
      </c>
    </row>
    <row r="9" spans="2:10" ht="24" customHeight="1">
      <c r="B9" s="23">
        <v>19</v>
      </c>
      <c r="C9" s="23">
        <v>20</v>
      </c>
      <c r="D9" s="23">
        <v>21</v>
      </c>
      <c r="E9" s="23">
        <v>22</v>
      </c>
      <c r="F9" s="23">
        <v>23</v>
      </c>
      <c r="G9" s="23">
        <v>24</v>
      </c>
      <c r="H9" s="23">
        <v>25</v>
      </c>
    </row>
    <row r="10" spans="2:10" s="145" customFormat="1" ht="75" customHeight="1">
      <c r="B10" s="42" t="s">
        <v>293</v>
      </c>
      <c r="C10" s="22" t="s">
        <v>294</v>
      </c>
      <c r="D10" s="42" t="s">
        <v>295</v>
      </c>
      <c r="E10" s="42" t="s">
        <v>64</v>
      </c>
      <c r="F10" s="61" t="s">
        <v>296</v>
      </c>
      <c r="G10" s="21"/>
      <c r="H10" s="21"/>
    </row>
    <row r="11" spans="2:10" ht="24" customHeight="1">
      <c r="B11" s="23">
        <v>26</v>
      </c>
      <c r="C11" s="23">
        <v>27</v>
      </c>
      <c r="D11" s="23">
        <v>28</v>
      </c>
      <c r="E11" s="23">
        <v>29</v>
      </c>
      <c r="F11" s="62">
        <v>1</v>
      </c>
      <c r="G11" s="62">
        <v>2</v>
      </c>
      <c r="H11" s="62">
        <v>3</v>
      </c>
    </row>
    <row r="12" spans="2:10" s="145" customFormat="1" ht="75" customHeight="1">
      <c r="B12" s="42" t="s">
        <v>20</v>
      </c>
      <c r="C12" s="22" t="s">
        <v>21</v>
      </c>
      <c r="D12" s="22" t="s">
        <v>39</v>
      </c>
      <c r="E12" s="43" t="s">
        <v>289</v>
      </c>
      <c r="F12" s="44" t="s">
        <v>12</v>
      </c>
      <c r="G12" s="21"/>
      <c r="H12" s="21"/>
    </row>
  </sheetData>
  <mergeCells count="1">
    <mergeCell ref="C1:D1"/>
  </mergeCells>
  <phoneticPr fontId="75" type="noConversion"/>
  <conditionalFormatting sqref="B3:H3">
    <cfRule type="expression" dxfId="162" priority="1">
      <formula>MonthToDisplayNumber&lt;&gt;MONTH(B3)</formula>
    </cfRule>
  </conditionalFormatting>
  <conditionalFormatting sqref="B11:H11">
    <cfRule type="expression" dxfId="161" priority="2">
      <formula>MonthToDisplayNumber&lt;&gt;MONTH(B11)</formula>
    </cfRule>
  </conditionalFormatting>
  <conditionalFormatting sqref="B9:H9">
    <cfRule type="expression" dxfId="160" priority="3">
      <formula>MonthToDisplayNumber&lt;&gt;MONTH(B9)</formula>
    </cfRule>
  </conditionalFormatting>
  <conditionalFormatting sqref="B7:H7">
    <cfRule type="expression" dxfId="159" priority="4">
      <formula>MonthToDisplayNumber&lt;&gt;MONTH(B7)</formula>
    </cfRule>
  </conditionalFormatting>
  <conditionalFormatting sqref="B5:H5">
    <cfRule type="expression" dxfId="158" priority="5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7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7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499984740745262"/>
    <pageSetUpPr fitToPage="1"/>
  </sheetPr>
  <dimension ref="A1:Z27"/>
  <sheetViews>
    <sheetView showGridLines="0" showRuler="0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2:8" ht="45" customHeight="1">
      <c r="B1" s="17">
        <f ca="1">YEAR(TODAY())</f>
        <v>2025</v>
      </c>
      <c r="C1" s="201" t="s">
        <v>164</v>
      </c>
      <c r="D1" s="201"/>
      <c r="E1" s="18" t="s">
        <v>1</v>
      </c>
    </row>
    <row r="2" spans="2:8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8" ht="24" customHeight="1" thickTop="1">
      <c r="B3" s="54">
        <v>26</v>
      </c>
      <c r="C3" s="54">
        <v>27</v>
      </c>
      <c r="D3" s="54">
        <v>28</v>
      </c>
      <c r="E3" s="54">
        <v>29</v>
      </c>
      <c r="F3" s="54">
        <v>1</v>
      </c>
      <c r="G3" s="54">
        <v>2</v>
      </c>
      <c r="H3" s="54">
        <v>3</v>
      </c>
    </row>
    <row r="4" spans="2:8" s="145" customFormat="1" ht="75" customHeight="1">
      <c r="B4" s="42" t="s">
        <v>20</v>
      </c>
      <c r="C4" s="22" t="s">
        <v>21</v>
      </c>
      <c r="D4" s="22" t="s">
        <v>39</v>
      </c>
      <c r="E4" s="43" t="s">
        <v>289</v>
      </c>
      <c r="F4" s="44" t="s">
        <v>12</v>
      </c>
      <c r="G4" s="32"/>
      <c r="H4" s="32"/>
    </row>
    <row r="5" spans="2:8" ht="24" customHeight="1">
      <c r="B5" s="23">
        <v>4</v>
      </c>
      <c r="C5" s="23">
        <v>5</v>
      </c>
      <c r="D5" s="23">
        <v>6</v>
      </c>
      <c r="E5" s="23">
        <v>7</v>
      </c>
      <c r="F5" s="23">
        <v>8</v>
      </c>
      <c r="G5" s="23">
        <v>9</v>
      </c>
      <c r="H5" s="23">
        <v>10</v>
      </c>
    </row>
    <row r="6" spans="2:8" s="145" customFormat="1" ht="75" customHeight="1">
      <c r="B6" s="43" t="s">
        <v>2</v>
      </c>
      <c r="C6" s="44" t="s">
        <v>323</v>
      </c>
      <c r="D6" s="44" t="s">
        <v>324</v>
      </c>
      <c r="E6" s="43" t="s">
        <v>288</v>
      </c>
      <c r="F6" s="44" t="s">
        <v>41</v>
      </c>
      <c r="G6" s="32"/>
      <c r="H6" s="32"/>
    </row>
    <row r="7" spans="2:8" ht="24" customHeight="1">
      <c r="B7" s="23">
        <v>11</v>
      </c>
      <c r="C7" s="23">
        <v>12</v>
      </c>
      <c r="D7" s="23">
        <v>13</v>
      </c>
      <c r="E7" s="23">
        <v>14</v>
      </c>
      <c r="F7" s="23">
        <v>15</v>
      </c>
      <c r="G7" s="23">
        <v>16</v>
      </c>
      <c r="H7" s="23">
        <v>17</v>
      </c>
    </row>
    <row r="8" spans="2:8" s="145" customFormat="1" ht="75" customHeight="1">
      <c r="B8" s="42" t="s">
        <v>20</v>
      </c>
      <c r="C8" s="22" t="s">
        <v>21</v>
      </c>
      <c r="D8" s="22" t="s">
        <v>39</v>
      </c>
      <c r="E8" s="43" t="s">
        <v>289</v>
      </c>
      <c r="F8" s="44" t="s">
        <v>12</v>
      </c>
      <c r="G8" s="32"/>
      <c r="H8" s="32"/>
    </row>
    <row r="9" spans="2:8" ht="24" customHeight="1">
      <c r="B9" s="23">
        <v>18</v>
      </c>
      <c r="C9" s="23">
        <v>19</v>
      </c>
      <c r="D9" s="23">
        <v>20</v>
      </c>
      <c r="E9" s="23">
        <v>21</v>
      </c>
      <c r="F9" s="23">
        <v>22</v>
      </c>
      <c r="G9" s="23">
        <v>23</v>
      </c>
      <c r="H9" s="23">
        <v>24</v>
      </c>
    </row>
    <row r="10" spans="2:8" s="145" customFormat="1" ht="75" customHeight="1">
      <c r="B10" s="43" t="s">
        <v>2</v>
      </c>
      <c r="C10" s="44" t="s">
        <v>323</v>
      </c>
      <c r="D10" s="44" t="s">
        <v>324</v>
      </c>
      <c r="E10" s="43" t="s">
        <v>288</v>
      </c>
      <c r="F10" s="44" t="s">
        <v>41</v>
      </c>
      <c r="G10" s="32"/>
      <c r="H10" s="32"/>
    </row>
    <row r="11" spans="2:8" ht="24" customHeight="1">
      <c r="B11" s="23">
        <v>25</v>
      </c>
      <c r="C11" s="23">
        <v>26</v>
      </c>
      <c r="D11" s="23">
        <v>27</v>
      </c>
      <c r="E11" s="23">
        <v>28</v>
      </c>
      <c r="F11" s="23">
        <v>29</v>
      </c>
      <c r="G11" s="23">
        <v>30</v>
      </c>
      <c r="H11" s="23">
        <v>31</v>
      </c>
    </row>
    <row r="12" spans="2:8" s="145" customFormat="1" ht="75" customHeight="1">
      <c r="B12" s="42" t="s">
        <v>20</v>
      </c>
      <c r="C12" s="22" t="s">
        <v>21</v>
      </c>
      <c r="D12" s="22" t="s">
        <v>39</v>
      </c>
      <c r="E12" s="43" t="s">
        <v>289</v>
      </c>
      <c r="F12" s="44" t="s">
        <v>12</v>
      </c>
      <c r="G12" s="32"/>
      <c r="H12" s="32"/>
    </row>
    <row r="13" spans="2:8" ht="23.25" customHeight="1">
      <c r="B13" s="23">
        <v>1</v>
      </c>
      <c r="C13" s="23">
        <v>2</v>
      </c>
      <c r="D13" s="23">
        <v>3</v>
      </c>
      <c r="E13" s="23">
        <v>4</v>
      </c>
      <c r="F13" s="23">
        <v>5</v>
      </c>
      <c r="G13" s="23">
        <v>6</v>
      </c>
      <c r="H13" s="23">
        <v>7</v>
      </c>
    </row>
    <row r="14" spans="2:8" s="145" customFormat="1" ht="75" customHeight="1">
      <c r="B14" s="43" t="s">
        <v>2</v>
      </c>
      <c r="C14" s="44" t="s">
        <v>323</v>
      </c>
      <c r="D14" s="44" t="s">
        <v>324</v>
      </c>
      <c r="E14" s="105" t="s">
        <v>167</v>
      </c>
      <c r="F14" s="115" t="s">
        <v>167</v>
      </c>
      <c r="G14" s="115" t="s">
        <v>167</v>
      </c>
      <c r="H14" s="55" t="s">
        <v>328</v>
      </c>
    </row>
    <row r="27" ht="24.75" customHeight="1"/>
  </sheetData>
  <mergeCells count="1">
    <mergeCell ref="C1:D1"/>
  </mergeCells>
  <phoneticPr fontId="75" type="noConversion"/>
  <conditionalFormatting sqref="B3:H3">
    <cfRule type="expression" dxfId="157" priority="1">
      <formula>MonthToDisplayNumber&lt;&gt;MONTH(B3)</formula>
    </cfRule>
  </conditionalFormatting>
  <conditionalFormatting sqref="B13:H13">
    <cfRule type="expression" dxfId="156" priority="2">
      <formula>MonthToDisplayNumber&lt;&gt;MONTH(B13)</formula>
    </cfRule>
  </conditionalFormatting>
  <conditionalFormatting sqref="B11:H11">
    <cfRule type="expression" dxfId="155" priority="3">
      <formula>MonthToDisplayNumber&lt;&gt;MONTH(B11)</formula>
    </cfRule>
  </conditionalFormatting>
  <conditionalFormatting sqref="B9:H9">
    <cfRule type="expression" dxfId="154" priority="4">
      <formula>MonthToDisplayNumber&lt;&gt;MONTH(B9)</formula>
    </cfRule>
  </conditionalFormatting>
  <conditionalFormatting sqref="B7:H7">
    <cfRule type="expression" dxfId="153" priority="5">
      <formula>MonthToDisplayNumber&lt;&gt;MONTH(B7)</formula>
    </cfRule>
  </conditionalFormatting>
  <conditionalFormatting sqref="B5:H5">
    <cfRule type="expression" dxfId="152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8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8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499984740745262"/>
    <pageSetUpPr fitToPage="1"/>
  </sheetPr>
  <dimension ref="A1:Z12"/>
  <sheetViews>
    <sheetView showGridLines="0" showRuler="0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2:8" ht="45" customHeight="1">
      <c r="B1" s="17">
        <f ca="1">YEAR(TODAY())</f>
        <v>2025</v>
      </c>
      <c r="C1" s="201" t="s">
        <v>149</v>
      </c>
      <c r="D1" s="201"/>
      <c r="E1" s="18" t="s">
        <v>1</v>
      </c>
    </row>
    <row r="2" spans="2:8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8" ht="24" customHeight="1" thickTop="1">
      <c r="B3" s="54">
        <v>1</v>
      </c>
      <c r="C3" s="54">
        <v>2</v>
      </c>
      <c r="D3" s="54">
        <v>3</v>
      </c>
      <c r="E3" s="54">
        <v>4</v>
      </c>
      <c r="F3" s="54">
        <v>5</v>
      </c>
      <c r="G3" s="54">
        <v>6</v>
      </c>
      <c r="H3" s="54">
        <v>7</v>
      </c>
    </row>
    <row r="4" spans="2:8" s="145" customFormat="1" ht="75" customHeight="1">
      <c r="B4" s="43" t="s">
        <v>2</v>
      </c>
      <c r="C4" s="44" t="s">
        <v>323</v>
      </c>
      <c r="D4" s="44" t="s">
        <v>324</v>
      </c>
      <c r="E4" s="105" t="s">
        <v>167</v>
      </c>
      <c r="F4" s="115" t="s">
        <v>167</v>
      </c>
      <c r="G4" s="115" t="s">
        <v>167</v>
      </c>
      <c r="H4" s="55" t="s">
        <v>328</v>
      </c>
    </row>
    <row r="5" spans="2:8" ht="24" customHeight="1">
      <c r="B5" s="23">
        <v>8</v>
      </c>
      <c r="C5" s="23">
        <v>9</v>
      </c>
      <c r="D5" s="23">
        <v>10</v>
      </c>
      <c r="E5" s="23">
        <v>11</v>
      </c>
      <c r="F5" s="23">
        <v>12</v>
      </c>
      <c r="G5" s="23">
        <v>13</v>
      </c>
      <c r="H5" s="23">
        <v>14</v>
      </c>
    </row>
    <row r="6" spans="2:8" s="145" customFormat="1" ht="75" customHeight="1">
      <c r="B6" s="44" t="s">
        <v>41</v>
      </c>
      <c r="C6" s="42" t="s">
        <v>20</v>
      </c>
      <c r="D6" s="22" t="s">
        <v>21</v>
      </c>
      <c r="E6" s="22" t="s">
        <v>39</v>
      </c>
      <c r="F6" s="43" t="s">
        <v>289</v>
      </c>
      <c r="G6" s="32"/>
      <c r="H6" s="32"/>
    </row>
    <row r="7" spans="2:8" ht="24" customHeight="1">
      <c r="B7" s="23">
        <v>15</v>
      </c>
      <c r="C7" s="23">
        <v>16</v>
      </c>
      <c r="D7" s="23">
        <v>17</v>
      </c>
      <c r="E7" s="23">
        <v>18</v>
      </c>
      <c r="F7" s="23">
        <v>19</v>
      </c>
      <c r="G7" s="23">
        <v>20</v>
      </c>
      <c r="H7" s="23">
        <v>21</v>
      </c>
    </row>
    <row r="8" spans="2:8" s="145" customFormat="1" ht="75" customHeight="1">
      <c r="B8" s="44" t="s">
        <v>12</v>
      </c>
      <c r="C8" s="43" t="s">
        <v>168</v>
      </c>
      <c r="D8" s="44" t="s">
        <v>329</v>
      </c>
      <c r="E8" s="44" t="s">
        <v>169</v>
      </c>
      <c r="F8" s="43" t="s">
        <v>330</v>
      </c>
      <c r="G8" s="32"/>
      <c r="H8" s="32"/>
    </row>
    <row r="9" spans="2:8" ht="24" customHeight="1">
      <c r="B9" s="23">
        <v>22</v>
      </c>
      <c r="C9" s="23">
        <v>23</v>
      </c>
      <c r="D9" s="23">
        <v>24</v>
      </c>
      <c r="E9" s="23">
        <v>25</v>
      </c>
      <c r="F9" s="23">
        <v>26</v>
      </c>
      <c r="G9" s="23">
        <v>27</v>
      </c>
      <c r="H9" s="23">
        <v>28</v>
      </c>
    </row>
    <row r="10" spans="2:8" s="145" customFormat="1" ht="75" customHeight="1">
      <c r="B10" s="44" t="s">
        <v>170</v>
      </c>
      <c r="C10" s="42" t="s">
        <v>171</v>
      </c>
      <c r="D10" s="42" t="s">
        <v>172</v>
      </c>
      <c r="E10" s="42" t="s">
        <v>173</v>
      </c>
      <c r="F10" s="42" t="s">
        <v>331</v>
      </c>
      <c r="G10" s="32"/>
      <c r="H10" s="55" t="s">
        <v>332</v>
      </c>
    </row>
    <row r="11" spans="2:8" ht="24" customHeight="1">
      <c r="B11" s="23">
        <v>29</v>
      </c>
      <c r="C11" s="23">
        <v>30</v>
      </c>
      <c r="D11" s="23">
        <v>1</v>
      </c>
      <c r="E11" s="23">
        <v>2</v>
      </c>
      <c r="F11" s="116">
        <v>3</v>
      </c>
      <c r="G11" s="23">
        <v>4</v>
      </c>
      <c r="H11" s="23">
        <v>5</v>
      </c>
    </row>
    <row r="12" spans="2:8" s="145" customFormat="1" ht="75" customHeight="1">
      <c r="B12" s="44" t="s">
        <v>174</v>
      </c>
      <c r="C12" s="61" t="s">
        <v>296</v>
      </c>
      <c r="D12" s="105" t="s">
        <v>175</v>
      </c>
      <c r="E12" s="105" t="s">
        <v>175</v>
      </c>
      <c r="F12" s="105" t="s">
        <v>175</v>
      </c>
      <c r="G12" s="105" t="s">
        <v>175</v>
      </c>
      <c r="H12" s="105" t="s">
        <v>175</v>
      </c>
    </row>
  </sheetData>
  <mergeCells count="1">
    <mergeCell ref="C1:D1"/>
  </mergeCells>
  <phoneticPr fontId="75" type="noConversion"/>
  <conditionalFormatting sqref="B3:H3">
    <cfRule type="expression" dxfId="151" priority="1">
      <formula>MonthToDisplayNumber&lt;&gt;MONTH(B3)</formula>
    </cfRule>
  </conditionalFormatting>
  <conditionalFormatting sqref="B11:H11">
    <cfRule type="expression" dxfId="150" priority="2">
      <formula>MonthToDisplayNumber&lt;&gt;MONTH(B11)</formula>
    </cfRule>
  </conditionalFormatting>
  <conditionalFormatting sqref="B9:H9">
    <cfRule type="expression" dxfId="149" priority="3">
      <formula>MonthToDisplayNumber&lt;&gt;MONTH(B9)</formula>
    </cfRule>
  </conditionalFormatting>
  <conditionalFormatting sqref="B7:H7">
    <cfRule type="expression" dxfId="148" priority="4">
      <formula>MonthToDisplayNumber&lt;&gt;MONTH(B7)</formula>
    </cfRule>
  </conditionalFormatting>
  <conditionalFormatting sqref="B5:H5">
    <cfRule type="expression" dxfId="147" priority="5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9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9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  <pageSetUpPr fitToPage="1"/>
  </sheetPr>
  <dimension ref="A1:Z14"/>
  <sheetViews>
    <sheetView showGridLines="0" showRuler="0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2:8" ht="45" customHeight="1">
      <c r="B1" s="17">
        <f ca="1">YEAR(TODAY())</f>
        <v>2025</v>
      </c>
      <c r="C1" s="201" t="s">
        <v>13</v>
      </c>
      <c r="D1" s="201"/>
      <c r="E1" s="18" t="s">
        <v>1</v>
      </c>
    </row>
    <row r="2" spans="2:8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8" ht="24" customHeight="1" thickTop="1">
      <c r="B3" s="54">
        <v>29</v>
      </c>
      <c r="C3" s="54">
        <v>30</v>
      </c>
      <c r="D3" s="54">
        <v>1</v>
      </c>
      <c r="E3" s="54">
        <v>2</v>
      </c>
      <c r="F3" s="54">
        <v>3</v>
      </c>
      <c r="G3" s="54">
        <v>4</v>
      </c>
      <c r="H3" s="54">
        <v>5</v>
      </c>
    </row>
    <row r="4" spans="2:8" s="145" customFormat="1" ht="75" customHeight="1">
      <c r="B4" s="44" t="s">
        <v>174</v>
      </c>
      <c r="C4" s="61" t="s">
        <v>296</v>
      </c>
      <c r="D4" s="105" t="s">
        <v>175</v>
      </c>
      <c r="E4" s="105" t="s">
        <v>175</v>
      </c>
      <c r="F4" s="105" t="s">
        <v>175</v>
      </c>
      <c r="G4" s="105" t="s">
        <v>175</v>
      </c>
      <c r="H4" s="105" t="s">
        <v>175</v>
      </c>
    </row>
    <row r="5" spans="2:8" ht="24" customHeight="1">
      <c r="B5" s="23">
        <v>6</v>
      </c>
      <c r="C5" s="23">
        <v>7</v>
      </c>
      <c r="D5" s="23">
        <v>8</v>
      </c>
      <c r="E5" s="23">
        <v>9</v>
      </c>
      <c r="F5" s="23">
        <v>10</v>
      </c>
      <c r="G5" s="23">
        <v>11</v>
      </c>
      <c r="H5" s="23">
        <v>12</v>
      </c>
    </row>
    <row r="6" spans="2:8" s="145" customFormat="1" ht="75" customHeight="1">
      <c r="B6" s="42" t="s">
        <v>20</v>
      </c>
      <c r="C6" s="22" t="s">
        <v>21</v>
      </c>
      <c r="D6" s="22" t="s">
        <v>39</v>
      </c>
      <c r="E6" s="43" t="s">
        <v>289</v>
      </c>
      <c r="F6" s="44" t="s">
        <v>12</v>
      </c>
      <c r="G6" s="55" t="s">
        <v>213</v>
      </c>
      <c r="H6" s="32"/>
    </row>
    <row r="7" spans="2:8" ht="24" customHeight="1">
      <c r="B7" s="23">
        <v>13</v>
      </c>
      <c r="C7" s="23">
        <v>14</v>
      </c>
      <c r="D7" s="23">
        <v>15</v>
      </c>
      <c r="E7" s="23">
        <v>16</v>
      </c>
      <c r="F7" s="23">
        <v>17</v>
      </c>
      <c r="G7" s="23">
        <v>18</v>
      </c>
      <c r="H7" s="23">
        <v>19</v>
      </c>
    </row>
    <row r="8" spans="2:8" s="145" customFormat="1" ht="75" customHeight="1">
      <c r="B8" s="44" t="s">
        <v>323</v>
      </c>
      <c r="C8" s="44" t="s">
        <v>324</v>
      </c>
      <c r="D8" s="43" t="s">
        <v>288</v>
      </c>
      <c r="E8" s="44" t="s">
        <v>41</v>
      </c>
      <c r="F8" s="42" t="s">
        <v>20</v>
      </c>
      <c r="G8" s="32"/>
      <c r="H8" s="32"/>
    </row>
    <row r="9" spans="2:8" ht="24" customHeight="1">
      <c r="B9" s="23">
        <v>20</v>
      </c>
      <c r="C9" s="23">
        <v>21</v>
      </c>
      <c r="D9" s="23">
        <v>22</v>
      </c>
      <c r="E9" s="23">
        <v>23</v>
      </c>
      <c r="F9" s="23">
        <v>24</v>
      </c>
      <c r="G9" s="23">
        <v>25</v>
      </c>
      <c r="H9" s="23">
        <v>26</v>
      </c>
    </row>
    <row r="10" spans="2:8" s="145" customFormat="1" ht="75" customHeight="1">
      <c r="B10" s="22" t="s">
        <v>21</v>
      </c>
      <c r="C10" s="22" t="s">
        <v>39</v>
      </c>
      <c r="D10" s="43" t="s">
        <v>289</v>
      </c>
      <c r="E10" s="44" t="s">
        <v>12</v>
      </c>
      <c r="F10" s="43" t="s">
        <v>2</v>
      </c>
      <c r="G10" s="32"/>
      <c r="H10" s="32"/>
    </row>
    <row r="11" spans="2:8" ht="24" customHeight="1">
      <c r="B11" s="23">
        <v>27</v>
      </c>
      <c r="C11" s="23">
        <v>28</v>
      </c>
      <c r="D11" s="23">
        <v>29</v>
      </c>
      <c r="E11" s="23">
        <v>30</v>
      </c>
      <c r="F11" s="23">
        <v>31</v>
      </c>
      <c r="G11" s="23">
        <v>1</v>
      </c>
      <c r="H11" s="23">
        <v>2</v>
      </c>
    </row>
    <row r="12" spans="2:8" s="145" customFormat="1" ht="75" customHeight="1">
      <c r="B12" s="44" t="s">
        <v>323</v>
      </c>
      <c r="C12" s="44" t="s">
        <v>324</v>
      </c>
      <c r="D12" s="43" t="s">
        <v>288</v>
      </c>
      <c r="E12" s="44" t="s">
        <v>41</v>
      </c>
      <c r="F12" s="42" t="s">
        <v>20</v>
      </c>
      <c r="G12" s="32"/>
      <c r="H12" s="32"/>
    </row>
    <row r="13" spans="2:8" ht="23.25" customHeight="1">
      <c r="B13" s="23">
        <v>3</v>
      </c>
      <c r="C13" s="23">
        <v>4</v>
      </c>
      <c r="D13" s="23">
        <v>5</v>
      </c>
      <c r="E13" s="23">
        <v>6</v>
      </c>
      <c r="F13" s="23">
        <v>7</v>
      </c>
      <c r="G13" s="23">
        <v>8</v>
      </c>
      <c r="H13" s="23">
        <v>9</v>
      </c>
    </row>
    <row r="14" spans="2:8" s="145" customFormat="1" ht="75" customHeight="1">
      <c r="B14" s="22" t="s">
        <v>21</v>
      </c>
      <c r="C14" s="22" t="s">
        <v>39</v>
      </c>
      <c r="D14" s="43" t="s">
        <v>289</v>
      </c>
      <c r="E14" s="44" t="s">
        <v>12</v>
      </c>
      <c r="F14" s="43" t="s">
        <v>2</v>
      </c>
      <c r="G14" s="105" t="s">
        <v>5</v>
      </c>
      <c r="H14" s="105" t="s">
        <v>5</v>
      </c>
    </row>
  </sheetData>
  <mergeCells count="1">
    <mergeCell ref="C1:D1"/>
  </mergeCells>
  <phoneticPr fontId="75" type="noConversion"/>
  <conditionalFormatting sqref="B13:H13">
    <cfRule type="expression" dxfId="146" priority="1">
      <formula>MonthToDisplayNumber&lt;&gt;MONTH(B13)</formula>
    </cfRule>
  </conditionalFormatting>
  <conditionalFormatting sqref="B3:H3">
    <cfRule type="expression" dxfId="145" priority="2">
      <formula>MonthToDisplayNumber&lt;&gt;MONTH(B3)</formula>
    </cfRule>
  </conditionalFormatting>
  <conditionalFormatting sqref="B11:H11">
    <cfRule type="expression" dxfId="144" priority="3">
      <formula>MonthToDisplayNumber&lt;&gt;MONTH(B11)</formula>
    </cfRule>
  </conditionalFormatting>
  <conditionalFormatting sqref="B9:H9">
    <cfRule type="expression" dxfId="143" priority="4">
      <formula>MonthToDisplayNumber&lt;&gt;MONTH(B9)</formula>
    </cfRule>
  </conditionalFormatting>
  <conditionalFormatting sqref="B7:H7">
    <cfRule type="expression" dxfId="142" priority="5">
      <formula>MonthToDisplayNumber&lt;&gt;MONTH(B7)</formula>
    </cfRule>
  </conditionalFormatting>
  <conditionalFormatting sqref="B5:H5">
    <cfRule type="expression" dxfId="141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A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A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499984740745262"/>
    <pageSetUpPr fitToPage="1"/>
  </sheetPr>
  <dimension ref="A1:Z14"/>
  <sheetViews>
    <sheetView showGridLines="0" showRuler="0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1:26" ht="45" customHeight="1">
      <c r="B1" s="17">
        <f ca="1">YEAR(TODAY())</f>
        <v>2025</v>
      </c>
      <c r="C1" s="201" t="s">
        <v>0</v>
      </c>
      <c r="D1" s="201"/>
      <c r="E1" s="18" t="s">
        <v>1</v>
      </c>
    </row>
    <row r="2" spans="1:26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1:26" ht="24" customHeight="1" thickTop="1">
      <c r="B3" s="54">
        <v>27</v>
      </c>
      <c r="C3" s="54">
        <v>28</v>
      </c>
      <c r="D3" s="54">
        <v>29</v>
      </c>
      <c r="E3" s="54">
        <v>30</v>
      </c>
      <c r="F3" s="54">
        <v>31</v>
      </c>
      <c r="G3" s="54">
        <v>1</v>
      </c>
      <c r="H3" s="54">
        <v>2</v>
      </c>
    </row>
    <row r="4" spans="1:26" s="145" customFormat="1" ht="75" customHeight="1">
      <c r="B4" s="44" t="s">
        <v>323</v>
      </c>
      <c r="C4" s="44" t="s">
        <v>324</v>
      </c>
      <c r="D4" s="43" t="s">
        <v>288</v>
      </c>
      <c r="E4" s="44" t="s">
        <v>41</v>
      </c>
      <c r="F4" s="42" t="s">
        <v>20</v>
      </c>
      <c r="G4" s="32"/>
      <c r="H4" s="32"/>
    </row>
    <row r="5" spans="1:26" ht="24" customHeight="1">
      <c r="B5" s="23">
        <v>3</v>
      </c>
      <c r="C5" s="23">
        <v>4</v>
      </c>
      <c r="D5" s="23">
        <v>5</v>
      </c>
      <c r="E5" s="23">
        <v>6</v>
      </c>
      <c r="F5" s="23">
        <v>7</v>
      </c>
      <c r="G5" s="23">
        <v>8</v>
      </c>
      <c r="H5" s="23">
        <v>9</v>
      </c>
    </row>
    <row r="6" spans="1:26" s="145" customFormat="1" ht="75" customHeight="1">
      <c r="B6" s="22" t="s">
        <v>21</v>
      </c>
      <c r="C6" s="22" t="s">
        <v>39</v>
      </c>
      <c r="D6" s="43" t="s">
        <v>289</v>
      </c>
      <c r="E6" s="44" t="s">
        <v>12</v>
      </c>
      <c r="F6" s="43" t="s">
        <v>2</v>
      </c>
      <c r="G6" s="105" t="s">
        <v>5</v>
      </c>
      <c r="H6" s="105" t="s">
        <v>5</v>
      </c>
    </row>
    <row r="7" spans="1:26" ht="24" customHeight="1">
      <c r="B7" s="23">
        <v>10</v>
      </c>
      <c r="C7" s="23">
        <v>11</v>
      </c>
      <c r="D7" s="23">
        <v>12</v>
      </c>
      <c r="E7" s="23">
        <v>13</v>
      </c>
      <c r="F7" s="23">
        <v>14</v>
      </c>
      <c r="G7" s="23">
        <v>15</v>
      </c>
      <c r="H7" s="23">
        <v>16</v>
      </c>
    </row>
    <row r="8" spans="1:26" s="145" customFormat="1" ht="75" customHeight="1">
      <c r="B8" s="105" t="s">
        <v>5</v>
      </c>
      <c r="C8" s="48" t="s">
        <v>323</v>
      </c>
      <c r="D8" s="48" t="s">
        <v>324</v>
      </c>
      <c r="E8" s="47" t="s">
        <v>288</v>
      </c>
      <c r="F8" s="48" t="s">
        <v>41</v>
      </c>
      <c r="G8" s="32"/>
      <c r="H8" s="32"/>
    </row>
    <row r="9" spans="1:26" ht="24" customHeight="1">
      <c r="B9" s="23">
        <v>17</v>
      </c>
      <c r="C9" s="23">
        <v>18</v>
      </c>
      <c r="D9" s="23">
        <v>19</v>
      </c>
      <c r="E9" s="23">
        <v>20</v>
      </c>
      <c r="F9" s="23">
        <v>21</v>
      </c>
      <c r="G9" s="23">
        <v>22</v>
      </c>
      <c r="H9" s="23">
        <v>23</v>
      </c>
    </row>
    <row r="10" spans="1:26" s="145" customFormat="1" ht="75" customHeight="1">
      <c r="B10" s="106" t="s">
        <v>20</v>
      </c>
      <c r="C10" s="107" t="s">
        <v>21</v>
      </c>
      <c r="D10" s="107" t="s">
        <v>39</v>
      </c>
      <c r="E10" s="108" t="s">
        <v>325</v>
      </c>
      <c r="F10" s="109" t="s">
        <v>12</v>
      </c>
      <c r="G10" s="32"/>
      <c r="H10" s="32"/>
    </row>
    <row r="11" spans="1:26" ht="24" customHeight="1">
      <c r="A11" s="49"/>
      <c r="B11" s="50">
        <v>24</v>
      </c>
      <c r="C11" s="50">
        <v>25</v>
      </c>
      <c r="D11" s="50">
        <v>26</v>
      </c>
      <c r="E11" s="50">
        <v>27</v>
      </c>
      <c r="F11" s="50">
        <v>28</v>
      </c>
      <c r="G11" s="50">
        <v>29</v>
      </c>
      <c r="H11" s="50">
        <v>30</v>
      </c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s="145" customFormat="1" ht="75" customHeight="1">
      <c r="B12" s="47" t="s">
        <v>2</v>
      </c>
      <c r="C12" s="48" t="s">
        <v>40</v>
      </c>
      <c r="D12" s="48" t="s">
        <v>326</v>
      </c>
      <c r="E12" s="47" t="s">
        <v>327</v>
      </c>
      <c r="F12" s="48" t="s">
        <v>41</v>
      </c>
      <c r="G12" s="32"/>
      <c r="H12" s="32"/>
      <c r="I12" s="110"/>
    </row>
    <row r="13" spans="1:26" ht="23.25" customHeight="1">
      <c r="B13" s="23">
        <v>1</v>
      </c>
      <c r="C13" s="23">
        <v>2</v>
      </c>
      <c r="D13" s="23">
        <v>3</v>
      </c>
      <c r="E13" s="23">
        <v>4</v>
      </c>
      <c r="F13" s="23">
        <v>5</v>
      </c>
      <c r="G13" s="23">
        <v>6</v>
      </c>
      <c r="H13" s="23">
        <v>7</v>
      </c>
    </row>
    <row r="14" spans="1:26" s="145" customFormat="1" ht="75" customHeight="1">
      <c r="B14" s="111" t="s">
        <v>165</v>
      </c>
      <c r="C14" s="111" t="s">
        <v>166</v>
      </c>
      <c r="D14" s="112" t="s">
        <v>39</v>
      </c>
      <c r="E14" s="113" t="s">
        <v>289</v>
      </c>
      <c r="F14" s="114" t="s">
        <v>12</v>
      </c>
      <c r="G14" s="32"/>
      <c r="H14" s="32"/>
    </row>
  </sheetData>
  <mergeCells count="1">
    <mergeCell ref="C1:D1"/>
  </mergeCells>
  <phoneticPr fontId="75" type="noConversion"/>
  <conditionalFormatting sqref="B3:H3">
    <cfRule type="expression" dxfId="140" priority="1">
      <formula>MonthToDisplayNumber&lt;&gt;MONTH(B3)</formula>
    </cfRule>
  </conditionalFormatting>
  <conditionalFormatting sqref="B13:H13">
    <cfRule type="expression" dxfId="139" priority="2">
      <formula>MonthToDisplayNumber&lt;&gt;MONTH(B13)</formula>
    </cfRule>
  </conditionalFormatting>
  <conditionalFormatting sqref="B11:H11">
    <cfRule type="expression" dxfId="138" priority="3">
      <formula>MonthToDisplayNumber&lt;&gt;MONTH(B11)</formula>
    </cfRule>
  </conditionalFormatting>
  <conditionalFormatting sqref="B9:H9">
    <cfRule type="expression" dxfId="137" priority="4">
      <formula>MonthToDisplayNumber&lt;&gt;MONTH(B9)</formula>
    </cfRule>
  </conditionalFormatting>
  <conditionalFormatting sqref="B7:H7">
    <cfRule type="expression" dxfId="136" priority="5">
      <formula>MonthToDisplayNumber&lt;&gt;MONTH(B7)</formula>
    </cfRule>
  </conditionalFormatting>
  <conditionalFormatting sqref="B5:H5">
    <cfRule type="expression" dxfId="135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B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B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-0.499984740745262"/>
    <pageSetUpPr fitToPage="1"/>
  </sheetPr>
  <dimension ref="A1:Z14"/>
  <sheetViews>
    <sheetView showGridLines="0" showRuler="0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1:8" ht="45" customHeight="1">
      <c r="B1" s="17">
        <f ca="1">YEAR(TODAY())</f>
        <v>2025</v>
      </c>
      <c r="C1" s="201" t="s">
        <v>25</v>
      </c>
      <c r="D1" s="201"/>
      <c r="E1" s="18" t="s">
        <v>1</v>
      </c>
    </row>
    <row r="2" spans="1:8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1:8" ht="24" customHeight="1">
      <c r="B3" s="23">
        <v>1</v>
      </c>
      <c r="C3" s="23">
        <v>2</v>
      </c>
      <c r="D3" s="23">
        <v>3</v>
      </c>
      <c r="E3" s="23">
        <v>4</v>
      </c>
      <c r="F3" s="23">
        <v>5</v>
      </c>
      <c r="G3" s="23">
        <v>6</v>
      </c>
      <c r="H3" s="23">
        <v>7</v>
      </c>
    </row>
    <row r="4" spans="1:8" s="145" customFormat="1" ht="90" customHeight="1">
      <c r="B4" s="29" t="s">
        <v>32</v>
      </c>
      <c r="C4" s="29" t="s">
        <v>33</v>
      </c>
      <c r="D4" s="29" t="s">
        <v>34</v>
      </c>
      <c r="E4" s="30" t="s">
        <v>35</v>
      </c>
      <c r="F4" s="31" t="s">
        <v>36</v>
      </c>
      <c r="G4" s="32"/>
      <c r="H4" s="32"/>
    </row>
    <row r="5" spans="1:8" ht="24" customHeight="1">
      <c r="B5" s="33">
        <v>8</v>
      </c>
      <c r="C5" s="34">
        <v>9</v>
      </c>
      <c r="D5" s="33">
        <v>10</v>
      </c>
      <c r="E5" s="35">
        <v>11</v>
      </c>
      <c r="F5" s="35">
        <v>12</v>
      </c>
      <c r="G5" s="33">
        <v>13</v>
      </c>
      <c r="H5" s="33">
        <v>14</v>
      </c>
    </row>
    <row r="6" spans="1:8" ht="96.75" customHeight="1">
      <c r="B6" s="36" t="s">
        <v>282</v>
      </c>
      <c r="C6" s="37" t="s">
        <v>37</v>
      </c>
      <c r="D6" s="38" t="s">
        <v>283</v>
      </c>
      <c r="E6" s="39" t="s">
        <v>284</v>
      </c>
      <c r="F6" s="38" t="s">
        <v>285</v>
      </c>
      <c r="G6" s="40"/>
      <c r="H6" s="40"/>
    </row>
    <row r="7" spans="1:8" ht="24" customHeight="1">
      <c r="B7" s="23">
        <v>15</v>
      </c>
      <c r="C7" s="41">
        <v>16</v>
      </c>
      <c r="D7" s="23">
        <v>17</v>
      </c>
      <c r="E7" s="23">
        <v>18</v>
      </c>
      <c r="F7" s="23">
        <v>19</v>
      </c>
      <c r="G7" s="23">
        <v>20</v>
      </c>
      <c r="H7" s="23">
        <v>21</v>
      </c>
    </row>
    <row r="8" spans="1:8" s="145" customFormat="1" ht="75" customHeight="1">
      <c r="B8" s="42" t="s">
        <v>38</v>
      </c>
      <c r="C8" s="22" t="s">
        <v>21</v>
      </c>
      <c r="D8" s="22" t="s">
        <v>39</v>
      </c>
      <c r="E8" s="43" t="s">
        <v>286</v>
      </c>
      <c r="F8" s="44" t="s">
        <v>12</v>
      </c>
      <c r="G8" s="32"/>
      <c r="H8" s="32"/>
    </row>
    <row r="9" spans="1:8" ht="24" customHeight="1">
      <c r="B9" s="23">
        <v>22</v>
      </c>
      <c r="C9" s="23">
        <v>23</v>
      </c>
      <c r="D9" s="23">
        <v>24</v>
      </c>
      <c r="E9" s="23">
        <v>25</v>
      </c>
      <c r="F9" s="23">
        <v>26</v>
      </c>
      <c r="G9" s="23">
        <v>27</v>
      </c>
      <c r="H9" s="23">
        <v>28</v>
      </c>
    </row>
    <row r="10" spans="1:8" s="145" customFormat="1" ht="75" customHeight="1">
      <c r="B10" s="43" t="s">
        <v>2</v>
      </c>
      <c r="C10" s="44" t="s">
        <v>40</v>
      </c>
      <c r="D10" s="44" t="s">
        <v>287</v>
      </c>
      <c r="E10" s="43" t="s">
        <v>288</v>
      </c>
      <c r="F10" s="44" t="s">
        <v>41</v>
      </c>
      <c r="G10" s="32"/>
      <c r="H10" s="32"/>
    </row>
    <row r="11" spans="1:8" ht="24" customHeight="1">
      <c r="B11" s="23">
        <v>29</v>
      </c>
      <c r="C11" s="23">
        <v>30</v>
      </c>
      <c r="D11" s="23">
        <v>31</v>
      </c>
      <c r="E11" s="23">
        <v>1</v>
      </c>
      <c r="F11" s="23">
        <v>2</v>
      </c>
      <c r="G11" s="23">
        <v>3</v>
      </c>
      <c r="H11" s="23">
        <v>4</v>
      </c>
    </row>
    <row r="12" spans="1:8" s="145" customFormat="1" ht="75" customHeight="1">
      <c r="B12" s="45" t="s">
        <v>42</v>
      </c>
      <c r="C12" s="46" t="s">
        <v>21</v>
      </c>
      <c r="D12" s="46" t="s">
        <v>39</v>
      </c>
      <c r="E12" s="47" t="s">
        <v>289</v>
      </c>
      <c r="F12" s="48" t="s">
        <v>12</v>
      </c>
      <c r="G12" s="32"/>
      <c r="H12" s="32"/>
    </row>
    <row r="13" spans="1:8" ht="24" customHeight="1">
      <c r="A13" s="49"/>
      <c r="B13" s="50">
        <v>5</v>
      </c>
      <c r="C13" s="50">
        <v>6</v>
      </c>
      <c r="D13" s="50">
        <v>7</v>
      </c>
      <c r="E13" s="50">
        <v>8</v>
      </c>
      <c r="F13" s="50">
        <v>9</v>
      </c>
      <c r="G13" s="51">
        <v>10</v>
      </c>
      <c r="H13" s="51">
        <v>11</v>
      </c>
    </row>
    <row r="14" spans="1:8" s="145" customFormat="1" ht="75" customHeight="1">
      <c r="B14" s="45" t="s">
        <v>2</v>
      </c>
      <c r="C14" s="45" t="s">
        <v>18</v>
      </c>
      <c r="D14" s="45" t="s">
        <v>290</v>
      </c>
      <c r="E14" s="47" t="s">
        <v>4</v>
      </c>
      <c r="F14" s="48" t="s">
        <v>43</v>
      </c>
      <c r="G14" s="32"/>
      <c r="H14" s="32"/>
    </row>
  </sheetData>
  <mergeCells count="1">
    <mergeCell ref="C1:D1"/>
  </mergeCells>
  <phoneticPr fontId="75" type="noConversion"/>
  <conditionalFormatting sqref="B3:H3">
    <cfRule type="expression" dxfId="134" priority="1">
      <formula>MonthToDisplayNumber&lt;&gt;MONTH(B3)</formula>
    </cfRule>
  </conditionalFormatting>
  <conditionalFormatting sqref="B13:H13">
    <cfRule type="expression" dxfId="133" priority="2">
      <formula>MonthToDisplayNumber&lt;&gt;MONTH(B13)</formula>
    </cfRule>
  </conditionalFormatting>
  <conditionalFormatting sqref="B11:H11">
    <cfRule type="expression" dxfId="132" priority="3">
      <formula>MonthToDisplayNumber&lt;&gt;MONTH(B11)</formula>
    </cfRule>
  </conditionalFormatting>
  <conditionalFormatting sqref="B9:H9">
    <cfRule type="expression" dxfId="131" priority="4">
      <formula>MonthToDisplayNumber&lt;&gt;MONTH(B9)</formula>
    </cfRule>
  </conditionalFormatting>
  <conditionalFormatting sqref="B7:H7">
    <cfRule type="expression" dxfId="130" priority="5">
      <formula>MonthToDisplayNumber&lt;&gt;MONTH(B7)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C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C00-000002000000}">
      <formula1>"星期一,星期二,星期三,星期四,星期五,星期六,星期日"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2024年8月">
    <tabColor theme="4" tint="-0.499984740745262"/>
    <pageSetUpPr fitToPage="1"/>
  </sheetPr>
  <dimension ref="A1:Z14"/>
  <sheetViews>
    <sheetView showGridLines="0" showRuler="0" zoomScaleNormal="100" workbookViewId="0">
      <pane ySplit="2" topLeftCell="A3" activePane="bottomLeft" state="frozen"/>
      <selection pane="bottomLeft"/>
    </sheetView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9" width="19.5" style="146" customWidth="1"/>
    <col min="10" max="10" width="17" style="146" customWidth="1"/>
    <col min="11" max="11" width="8.83203125" style="146"/>
    <col min="12" max="12" width="13.5" style="146" customWidth="1"/>
    <col min="13" max="26" width="8.83203125" style="146"/>
  </cols>
  <sheetData>
    <row r="1" spans="2:11" ht="45" customHeight="1">
      <c r="B1" s="17">
        <f ca="1">YEAR(TODAY())</f>
        <v>2025</v>
      </c>
      <c r="C1" s="201" t="s">
        <v>150</v>
      </c>
      <c r="D1" s="201"/>
      <c r="E1" s="18" t="s">
        <v>1</v>
      </c>
    </row>
    <row r="2" spans="2:11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11" ht="24" customHeight="1" thickTop="1">
      <c r="B3" s="54">
        <v>29</v>
      </c>
      <c r="C3" s="54">
        <v>30</v>
      </c>
      <c r="D3" s="54">
        <v>31</v>
      </c>
      <c r="E3" s="54">
        <v>1</v>
      </c>
      <c r="F3" s="54">
        <v>2</v>
      </c>
      <c r="G3" s="54">
        <v>3</v>
      </c>
      <c r="H3" s="54">
        <v>4</v>
      </c>
    </row>
    <row r="4" spans="2:11" s="145" customFormat="1" ht="75" customHeight="1">
      <c r="B4" s="129" t="s">
        <v>200</v>
      </c>
      <c r="C4" s="130" t="s">
        <v>201</v>
      </c>
      <c r="D4" s="130" t="s">
        <v>202</v>
      </c>
      <c r="E4" s="129" t="s">
        <v>339</v>
      </c>
      <c r="F4" s="131" t="s">
        <v>203</v>
      </c>
      <c r="G4" s="32"/>
      <c r="H4" s="32"/>
    </row>
    <row r="5" spans="2:11" ht="24" customHeight="1">
      <c r="B5" s="51">
        <v>5</v>
      </c>
      <c r="C5" s="51">
        <v>6</v>
      </c>
      <c r="D5" s="51">
        <v>7</v>
      </c>
      <c r="E5" s="51">
        <v>8</v>
      </c>
      <c r="F5" s="51">
        <v>9</v>
      </c>
      <c r="G5" s="23">
        <v>10</v>
      </c>
      <c r="H5" s="23">
        <v>11</v>
      </c>
    </row>
    <row r="6" spans="2:11" s="145" customFormat="1" ht="75" customHeight="1">
      <c r="B6" s="75" t="s">
        <v>204</v>
      </c>
      <c r="C6" s="75" t="s">
        <v>205</v>
      </c>
      <c r="D6" s="75" t="s">
        <v>340</v>
      </c>
      <c r="E6" s="129" t="s">
        <v>206</v>
      </c>
      <c r="F6" s="130" t="s">
        <v>87</v>
      </c>
      <c r="G6" s="32"/>
      <c r="H6" s="32"/>
    </row>
    <row r="7" spans="2:11" ht="24" customHeight="1">
      <c r="B7" s="23">
        <v>12</v>
      </c>
      <c r="C7" s="23">
        <v>13</v>
      </c>
      <c r="D7" s="23">
        <v>14</v>
      </c>
      <c r="E7" s="23">
        <v>15</v>
      </c>
      <c r="F7" s="23">
        <v>16</v>
      </c>
      <c r="G7" s="23">
        <v>17</v>
      </c>
      <c r="H7" s="23">
        <v>18</v>
      </c>
    </row>
    <row r="8" spans="2:11" s="145" customFormat="1" ht="85.5" customHeight="1">
      <c r="B8" s="47" t="s">
        <v>207</v>
      </c>
      <c r="C8" s="48" t="s">
        <v>208</v>
      </c>
      <c r="D8" s="48" t="s">
        <v>209</v>
      </c>
      <c r="E8" s="47" t="s">
        <v>341</v>
      </c>
      <c r="F8" s="132" t="s">
        <v>210</v>
      </c>
      <c r="G8" s="32"/>
      <c r="H8" s="32"/>
    </row>
    <row r="9" spans="2:11" ht="24" customHeight="1">
      <c r="B9" s="23">
        <v>19</v>
      </c>
      <c r="C9" s="23">
        <v>20</v>
      </c>
      <c r="D9" s="23">
        <v>21</v>
      </c>
      <c r="E9" s="23">
        <v>22</v>
      </c>
      <c r="F9" s="23">
        <v>23</v>
      </c>
      <c r="G9" s="23">
        <v>24</v>
      </c>
      <c r="H9" s="23">
        <v>25</v>
      </c>
    </row>
    <row r="10" spans="2:11" s="145" customFormat="1" ht="75" customHeight="1">
      <c r="B10" s="45" t="s">
        <v>211</v>
      </c>
      <c r="C10" s="45" t="s">
        <v>205</v>
      </c>
      <c r="D10" s="45" t="s">
        <v>342</v>
      </c>
      <c r="E10" s="47" t="s">
        <v>206</v>
      </c>
      <c r="F10" s="48" t="s">
        <v>43</v>
      </c>
      <c r="G10" s="32"/>
      <c r="H10" s="32"/>
      <c r="K10" s="110"/>
    </row>
    <row r="11" spans="2:11" ht="24" customHeight="1">
      <c r="B11" s="23">
        <v>26</v>
      </c>
      <c r="C11" s="23">
        <v>27</v>
      </c>
      <c r="D11" s="23">
        <v>28</v>
      </c>
      <c r="E11" s="23">
        <v>29</v>
      </c>
      <c r="F11" s="23">
        <v>30</v>
      </c>
      <c r="G11" s="23">
        <v>31</v>
      </c>
      <c r="H11" s="23">
        <v>1</v>
      </c>
    </row>
    <row r="12" spans="2:11" s="145" customFormat="1" ht="75" customHeight="1">
      <c r="B12" s="133" t="s">
        <v>68</v>
      </c>
      <c r="C12" s="134" t="s">
        <v>208</v>
      </c>
      <c r="D12" s="134" t="s">
        <v>212</v>
      </c>
      <c r="E12" s="133" t="s">
        <v>343</v>
      </c>
      <c r="F12" s="135" t="s">
        <v>203</v>
      </c>
      <c r="G12" s="32"/>
      <c r="H12" s="32"/>
    </row>
    <row r="13" spans="2:11" ht="23.25" customHeight="1">
      <c r="B13" s="23">
        <v>2</v>
      </c>
      <c r="C13" s="23">
        <v>3</v>
      </c>
      <c r="D13" s="23">
        <v>4</v>
      </c>
      <c r="E13" s="23">
        <v>5</v>
      </c>
      <c r="F13" s="23">
        <v>6</v>
      </c>
      <c r="G13" s="23">
        <v>7</v>
      </c>
      <c r="H13" s="23">
        <v>8</v>
      </c>
    </row>
    <row r="14" spans="2:11" s="145" customFormat="1" ht="92.5" customHeight="1">
      <c r="B14" s="32"/>
      <c r="C14" s="32"/>
      <c r="D14" s="32"/>
      <c r="E14" s="32"/>
      <c r="F14" s="32"/>
      <c r="G14" s="32"/>
      <c r="H14" s="32"/>
    </row>
  </sheetData>
  <mergeCells count="1">
    <mergeCell ref="C1:D1"/>
  </mergeCells>
  <phoneticPr fontId="75" type="noConversion"/>
  <conditionalFormatting sqref="B3:H3">
    <cfRule type="expression" dxfId="129" priority="1">
      <formula>MonthToDisplayNumber&lt;&gt;MONTH(B3)</formula>
    </cfRule>
  </conditionalFormatting>
  <conditionalFormatting sqref="B13:H13">
    <cfRule type="expression" dxfId="128" priority="2">
      <formula>MonthToDisplayNumber&lt;&gt;MONTH(B13)</formula>
    </cfRule>
  </conditionalFormatting>
  <conditionalFormatting sqref="B11:H11">
    <cfRule type="expression" dxfId="127" priority="3">
      <formula>MonthToDisplayNumber&lt;&gt;MONTH(B11)</formula>
    </cfRule>
  </conditionalFormatting>
  <conditionalFormatting sqref="B9:H9">
    <cfRule type="expression" dxfId="126" priority="4">
      <formula>MonthToDisplayNumber&lt;&gt;MONTH(B9)</formula>
    </cfRule>
  </conditionalFormatting>
  <conditionalFormatting sqref="B7:H7">
    <cfRule type="expression" dxfId="125" priority="5">
      <formula>MonthToDisplayNumber&lt;&gt;MONTH(B7)</formula>
    </cfRule>
  </conditionalFormatting>
  <conditionalFormatting sqref="B5:H5">
    <cfRule type="expression" dxfId="124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D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D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2024年9月 ">
    <tabColor theme="4" tint="-0.499984740745262"/>
    <pageSetUpPr fitToPage="1"/>
  </sheetPr>
  <dimension ref="B1:H14"/>
  <sheetViews>
    <sheetView showGridLines="0" showRuler="0" workbookViewId="0">
      <pane ySplit="2" topLeftCell="A3" activePane="bottomLeft" state="frozen"/>
      <selection pane="bottomLeft"/>
    </sheetView>
  </sheetViews>
  <sheetFormatPr baseColWidth="10" defaultColWidth="8.83203125" defaultRowHeight="16"/>
  <cols>
    <col min="1" max="1" width="2.1640625" customWidth="1"/>
    <col min="2" max="2" width="22.1640625" customWidth="1"/>
    <col min="3" max="3" width="20.6640625" customWidth="1"/>
    <col min="4" max="5" width="24.1640625" customWidth="1"/>
    <col min="6" max="6" width="27" customWidth="1"/>
    <col min="7" max="8" width="20.6640625" customWidth="1"/>
  </cols>
  <sheetData>
    <row r="1" spans="2:8" ht="45" customHeight="1">
      <c r="B1" s="17">
        <f ca="1">YEAR(TODAY())</f>
        <v>2025</v>
      </c>
      <c r="C1" s="201" t="s">
        <v>67</v>
      </c>
      <c r="D1" s="201"/>
      <c r="E1" s="18" t="s">
        <v>1</v>
      </c>
    </row>
    <row r="2" spans="2:8" ht="19.5" customHeight="1">
      <c r="B2" s="19">
        <v>45194</v>
      </c>
      <c r="C2" s="19">
        <v>45195</v>
      </c>
      <c r="D2" s="19">
        <v>45196</v>
      </c>
      <c r="E2" s="19">
        <v>45197</v>
      </c>
      <c r="F2" s="19">
        <v>45198</v>
      </c>
      <c r="G2" s="19">
        <v>45199</v>
      </c>
      <c r="H2" s="19">
        <v>45200</v>
      </c>
    </row>
    <row r="3" spans="2:8" ht="24" customHeight="1">
      <c r="B3" s="20">
        <v>45164</v>
      </c>
      <c r="C3" s="20">
        <v>45165</v>
      </c>
      <c r="D3" s="20">
        <v>45166</v>
      </c>
      <c r="E3" s="20">
        <v>45167</v>
      </c>
      <c r="F3" s="20">
        <v>45168</v>
      </c>
      <c r="G3" s="20">
        <v>45169</v>
      </c>
      <c r="H3" s="20">
        <v>45170</v>
      </c>
    </row>
    <row r="4" spans="2:8" s="145" customFormat="1" ht="75" customHeight="1">
      <c r="B4" s="73" t="s">
        <v>68</v>
      </c>
      <c r="C4" s="73" t="s">
        <v>69</v>
      </c>
      <c r="D4" s="73" t="s">
        <v>7</v>
      </c>
      <c r="E4" s="73" t="s">
        <v>70</v>
      </c>
      <c r="F4" s="73" t="s">
        <v>12</v>
      </c>
      <c r="G4" s="21"/>
      <c r="H4" s="21"/>
    </row>
    <row r="5" spans="2:8" ht="24" customHeight="1">
      <c r="B5" s="23">
        <v>45171</v>
      </c>
      <c r="C5" s="23">
        <v>45172</v>
      </c>
      <c r="D5" s="23">
        <v>45173</v>
      </c>
      <c r="E5" s="23">
        <v>45174</v>
      </c>
      <c r="F5" s="23">
        <v>45175</v>
      </c>
      <c r="G5" s="23">
        <v>45176</v>
      </c>
      <c r="H5" s="23">
        <v>45177</v>
      </c>
    </row>
    <row r="6" spans="2:8" s="145" customFormat="1" ht="95.25" customHeight="1">
      <c r="B6" s="73" t="s">
        <v>71</v>
      </c>
      <c r="C6" s="73" t="s">
        <v>18</v>
      </c>
      <c r="D6" s="73" t="s">
        <v>72</v>
      </c>
      <c r="E6" s="73" t="s">
        <v>73</v>
      </c>
      <c r="F6" s="73" t="s">
        <v>74</v>
      </c>
      <c r="G6" s="21"/>
      <c r="H6" s="21"/>
    </row>
    <row r="7" spans="2:8" ht="24" customHeight="1">
      <c r="B7" s="23">
        <v>45178</v>
      </c>
      <c r="C7" s="23">
        <v>45179</v>
      </c>
      <c r="D7" s="23">
        <v>45180</v>
      </c>
      <c r="E7" s="23">
        <v>45181</v>
      </c>
      <c r="F7" s="23">
        <v>45182</v>
      </c>
      <c r="G7" s="23">
        <v>45183</v>
      </c>
      <c r="H7" s="23">
        <v>45184</v>
      </c>
    </row>
    <row r="8" spans="2:8" s="145" customFormat="1" ht="129" customHeight="1">
      <c r="B8" s="29" t="s">
        <v>304</v>
      </c>
      <c r="C8" s="29" t="s">
        <v>75</v>
      </c>
      <c r="D8" s="29" t="s">
        <v>76</v>
      </c>
      <c r="E8" s="29" t="s">
        <v>305</v>
      </c>
      <c r="F8" s="29" t="s">
        <v>77</v>
      </c>
      <c r="G8" s="29" t="s">
        <v>78</v>
      </c>
      <c r="H8" s="74" t="s">
        <v>79</v>
      </c>
    </row>
    <row r="9" spans="2:8" ht="24" customHeight="1">
      <c r="B9" s="23">
        <v>45185</v>
      </c>
      <c r="C9" s="23">
        <v>45186</v>
      </c>
      <c r="D9" s="23">
        <v>45187</v>
      </c>
      <c r="E9" s="23">
        <v>45188</v>
      </c>
      <c r="F9" s="23">
        <v>45189</v>
      </c>
      <c r="G9" s="23">
        <v>45190</v>
      </c>
      <c r="H9" s="23">
        <v>45191</v>
      </c>
    </row>
    <row r="10" spans="2:8" s="145" customFormat="1" ht="105" customHeight="1">
      <c r="B10" s="74" t="s">
        <v>79</v>
      </c>
      <c r="C10" s="74" t="s">
        <v>80</v>
      </c>
      <c r="D10" s="29" t="s">
        <v>306</v>
      </c>
      <c r="E10" s="29" t="s">
        <v>307</v>
      </c>
      <c r="F10" s="30" t="s">
        <v>308</v>
      </c>
      <c r="G10" s="21"/>
      <c r="H10" s="21"/>
    </row>
    <row r="11" spans="2:8" ht="24" customHeight="1">
      <c r="B11" s="23">
        <v>45192</v>
      </c>
      <c r="C11" s="23">
        <v>45193</v>
      </c>
      <c r="D11" s="23">
        <v>45194</v>
      </c>
      <c r="E11" s="23">
        <v>45195</v>
      </c>
      <c r="F11" s="23">
        <v>45196</v>
      </c>
      <c r="G11" s="23">
        <v>45197</v>
      </c>
      <c r="H11" s="23">
        <v>45198</v>
      </c>
    </row>
    <row r="12" spans="2:8" s="145" customFormat="1" ht="75" customHeight="1">
      <c r="B12" s="31" t="s">
        <v>81</v>
      </c>
      <c r="C12" s="75" t="s">
        <v>309</v>
      </c>
      <c r="D12" s="75" t="s">
        <v>6</v>
      </c>
      <c r="E12" s="75" t="s">
        <v>7</v>
      </c>
      <c r="F12" s="75" t="s">
        <v>310</v>
      </c>
      <c r="G12" s="76"/>
      <c r="H12" s="75" t="s">
        <v>82</v>
      </c>
    </row>
    <row r="13" spans="2:8" ht="23.25" hidden="1" customHeight="1">
      <c r="B13" s="23" t="e">
        <f>INDEX(日历,ndx+5)</f>
        <v>#NAME?</v>
      </c>
      <c r="C13" s="23"/>
      <c r="D13" s="23"/>
      <c r="E13" s="23"/>
      <c r="F13" s="23"/>
      <c r="G13" s="23"/>
      <c r="H13" s="23"/>
    </row>
    <row r="14" spans="2:8" s="145" customFormat="1" ht="75" hidden="1" customHeight="1">
      <c r="B14" s="21"/>
      <c r="C14" s="21"/>
      <c r="D14" s="21"/>
      <c r="E14" s="21"/>
      <c r="F14" s="21"/>
      <c r="G14" s="21"/>
      <c r="H14" s="21"/>
    </row>
  </sheetData>
  <mergeCells count="1">
    <mergeCell ref="C1:D1"/>
  </mergeCells>
  <phoneticPr fontId="75" type="noConversion"/>
  <conditionalFormatting sqref="B3:H3">
    <cfRule type="expression" dxfId="123" priority="1">
      <formula>MonthToDisplayNumber&lt;&gt;MONTH(B3)</formula>
    </cfRule>
  </conditionalFormatting>
  <conditionalFormatting sqref="B13:H13">
    <cfRule type="expression" dxfId="122" priority="2">
      <formula>MonthToDisplayNumber&lt;&gt;MONTH(B13)</formula>
    </cfRule>
  </conditionalFormatting>
  <conditionalFormatting sqref="B11:H11">
    <cfRule type="expression" dxfId="121" priority="3">
      <formula>MonthToDisplayNumber&lt;&gt;MONTH(B11)</formula>
    </cfRule>
  </conditionalFormatting>
  <conditionalFormatting sqref="B9:H9">
    <cfRule type="expression" dxfId="120" priority="4">
      <formula>MonthToDisplayNumber&lt;&gt;MONTH(B9)</formula>
    </cfRule>
  </conditionalFormatting>
  <conditionalFormatting sqref="B7:H7">
    <cfRule type="expression" dxfId="119" priority="5">
      <formula>MonthToDisplayNumber&lt;&gt;MONTH(B7)</formula>
    </cfRule>
  </conditionalFormatting>
  <conditionalFormatting sqref="B5:H5">
    <cfRule type="expression" dxfId="118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E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E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2024年10月 ">
    <tabColor theme="4" tint="-0.499984740745262"/>
    <pageSetUpPr fitToPage="1"/>
  </sheetPr>
  <dimension ref="B1:H14"/>
  <sheetViews>
    <sheetView showGridLines="0" showRuler="0" workbookViewId="0">
      <pane ySplit="3" topLeftCell="A4" activePane="bottomLeft" state="frozen"/>
      <selection pane="bottomLeft"/>
    </sheetView>
  </sheetViews>
  <sheetFormatPr baseColWidth="10" defaultColWidth="8.83203125" defaultRowHeight="16"/>
  <cols>
    <col min="1" max="1" width="2.1640625" customWidth="1"/>
    <col min="2" max="8" width="20.6640625" customWidth="1"/>
  </cols>
  <sheetData>
    <row r="1" spans="2:8" ht="45" customHeight="1">
      <c r="B1" s="17">
        <f ca="1">YEAR(TODAY())</f>
        <v>2025</v>
      </c>
      <c r="C1" s="201" t="s">
        <v>163</v>
      </c>
      <c r="D1" s="201"/>
      <c r="E1" s="18" t="s">
        <v>1</v>
      </c>
    </row>
    <row r="2" spans="2:8" ht="19.5" customHeight="1">
      <c r="B2" s="19">
        <v>45194</v>
      </c>
      <c r="C2" s="19">
        <v>45195</v>
      </c>
      <c r="D2" s="19">
        <v>45196</v>
      </c>
      <c r="E2" s="19">
        <v>45197</v>
      </c>
      <c r="F2" s="19">
        <v>45198</v>
      </c>
      <c r="G2" s="19">
        <v>45199</v>
      </c>
      <c r="H2" s="19">
        <v>45200</v>
      </c>
    </row>
    <row r="3" spans="2:8" ht="24" customHeight="1">
      <c r="B3" s="117">
        <v>45565</v>
      </c>
      <c r="C3" s="117">
        <v>45566</v>
      </c>
      <c r="D3" s="118">
        <v>2</v>
      </c>
      <c r="E3" s="118">
        <v>3</v>
      </c>
      <c r="F3" s="118">
        <v>4</v>
      </c>
      <c r="G3" s="118">
        <v>5</v>
      </c>
      <c r="H3" s="118">
        <v>6</v>
      </c>
    </row>
    <row r="4" spans="2:8" s="145" customFormat="1" ht="96.75" customHeight="1">
      <c r="B4" s="75" t="s">
        <v>176</v>
      </c>
      <c r="C4" s="119" t="s">
        <v>177</v>
      </c>
      <c r="D4" s="119" t="s">
        <v>178</v>
      </c>
      <c r="E4" s="119" t="s">
        <v>179</v>
      </c>
      <c r="F4" s="119" t="s">
        <v>180</v>
      </c>
      <c r="G4" s="119" t="s">
        <v>181</v>
      </c>
      <c r="H4" s="119" t="s">
        <v>182</v>
      </c>
    </row>
    <row r="5" spans="2:8" ht="24" customHeight="1">
      <c r="B5" s="120">
        <v>7</v>
      </c>
      <c r="C5" s="120">
        <v>8</v>
      </c>
      <c r="D5" s="120">
        <v>9</v>
      </c>
      <c r="E5" s="120">
        <v>10</v>
      </c>
      <c r="F5" s="120">
        <v>11</v>
      </c>
      <c r="G5" s="121">
        <v>12</v>
      </c>
      <c r="H5" s="121">
        <v>13</v>
      </c>
    </row>
    <row r="6" spans="2:8" s="145" customFormat="1" ht="87.75" customHeight="1">
      <c r="B6" s="119" t="s">
        <v>183</v>
      </c>
      <c r="C6" s="75" t="s">
        <v>184</v>
      </c>
      <c r="D6" s="75" t="s">
        <v>185</v>
      </c>
      <c r="E6" s="75" t="s">
        <v>186</v>
      </c>
      <c r="F6" s="75" t="s">
        <v>187</v>
      </c>
      <c r="G6" s="122" t="s">
        <v>188</v>
      </c>
      <c r="H6" s="123"/>
    </row>
    <row r="7" spans="2:8" ht="24" customHeight="1">
      <c r="B7" s="120">
        <v>14</v>
      </c>
      <c r="C7" s="120">
        <v>15</v>
      </c>
      <c r="D7" s="120">
        <v>16</v>
      </c>
      <c r="E7" s="120">
        <v>17</v>
      </c>
      <c r="F7" s="120">
        <v>18</v>
      </c>
      <c r="G7" s="120">
        <v>19</v>
      </c>
      <c r="H7" s="120">
        <v>20</v>
      </c>
    </row>
    <row r="8" spans="2:8" s="145" customFormat="1" ht="75" customHeight="1">
      <c r="B8" s="124" t="s">
        <v>189</v>
      </c>
      <c r="C8" s="124" t="s">
        <v>6</v>
      </c>
      <c r="D8" s="124" t="s">
        <v>7</v>
      </c>
      <c r="E8" s="124" t="s">
        <v>70</v>
      </c>
      <c r="F8" s="124" t="s">
        <v>12</v>
      </c>
      <c r="G8" s="76"/>
      <c r="H8" s="21"/>
    </row>
    <row r="9" spans="2:8" ht="24" customHeight="1">
      <c r="B9" s="120">
        <v>21</v>
      </c>
      <c r="C9" s="120">
        <v>22</v>
      </c>
      <c r="D9" s="120">
        <v>23</v>
      </c>
      <c r="E9" s="120">
        <v>24</v>
      </c>
      <c r="F9" s="120">
        <v>25</v>
      </c>
      <c r="G9" s="120">
        <v>26</v>
      </c>
      <c r="H9" s="120">
        <v>27</v>
      </c>
    </row>
    <row r="10" spans="2:8" s="145" customFormat="1" ht="75" customHeight="1">
      <c r="B10" s="124" t="s">
        <v>2</v>
      </c>
      <c r="C10" s="124" t="s">
        <v>190</v>
      </c>
      <c r="D10" s="124" t="s">
        <v>191</v>
      </c>
      <c r="E10" s="124" t="s">
        <v>73</v>
      </c>
      <c r="F10" s="124" t="s">
        <v>87</v>
      </c>
      <c r="G10" s="21"/>
      <c r="H10" s="21"/>
    </row>
    <row r="11" spans="2:8" ht="24" customHeight="1">
      <c r="B11" s="120">
        <v>28</v>
      </c>
      <c r="C11" s="120">
        <v>29</v>
      </c>
      <c r="D11" s="120">
        <v>30</v>
      </c>
      <c r="E11" s="120">
        <v>31</v>
      </c>
      <c r="F11" s="125">
        <v>45597</v>
      </c>
      <c r="G11" s="120">
        <v>2</v>
      </c>
      <c r="H11" s="120">
        <v>3</v>
      </c>
    </row>
    <row r="12" spans="2:8" s="145" customFormat="1" ht="75" customHeight="1">
      <c r="B12" s="126" t="s">
        <v>84</v>
      </c>
      <c r="C12" s="126" t="s">
        <v>6</v>
      </c>
      <c r="D12" s="126" t="s">
        <v>7</v>
      </c>
      <c r="E12" s="126" t="s">
        <v>70</v>
      </c>
      <c r="F12" s="76"/>
      <c r="G12" s="21"/>
      <c r="H12" s="21"/>
    </row>
    <row r="13" spans="2:8" ht="23.25" customHeight="1">
      <c r="B13" s="120">
        <v>4</v>
      </c>
      <c r="C13" s="120">
        <v>5</v>
      </c>
      <c r="D13" s="120">
        <v>6</v>
      </c>
      <c r="E13" s="120">
        <v>7</v>
      </c>
      <c r="F13" s="120">
        <v>8</v>
      </c>
      <c r="G13" s="120">
        <v>9</v>
      </c>
      <c r="H13" s="120">
        <v>10</v>
      </c>
    </row>
    <row r="14" spans="2:8" s="145" customFormat="1" ht="75" customHeight="1">
      <c r="B14" s="76"/>
      <c r="C14" s="76"/>
      <c r="D14" s="76"/>
      <c r="E14" s="76"/>
      <c r="F14" s="76"/>
      <c r="G14" s="21"/>
      <c r="H14" s="21"/>
    </row>
  </sheetData>
  <mergeCells count="1">
    <mergeCell ref="C1:D1"/>
  </mergeCells>
  <phoneticPr fontId="75" type="noConversion"/>
  <conditionalFormatting sqref="B3:H3">
    <cfRule type="expression" dxfId="117" priority="1">
      <formula>MonthToDisplayNumber&lt;&gt;MONTH(B3)</formula>
    </cfRule>
  </conditionalFormatting>
  <conditionalFormatting sqref="B13:H13">
    <cfRule type="expression" dxfId="116" priority="2">
      <formula>MonthToDisplayNumber&lt;&gt;MONTH(B13)</formula>
    </cfRule>
  </conditionalFormatting>
  <conditionalFormatting sqref="B11:H11">
    <cfRule type="expression" dxfId="115" priority="3">
      <formula>MonthToDisplayNumber&lt;&gt;MONTH(B11)</formula>
    </cfRule>
  </conditionalFormatting>
  <conditionalFormatting sqref="B9:H9">
    <cfRule type="expression" dxfId="114" priority="4">
      <formula>MonthToDisplayNumber&lt;&gt;MONTH(B9)</formula>
    </cfRule>
  </conditionalFormatting>
  <conditionalFormatting sqref="B7:H7">
    <cfRule type="expression" dxfId="113" priority="5">
      <formula>MonthToDisplayNumber&lt;&gt;MONTH(B7)</formula>
    </cfRule>
  </conditionalFormatting>
  <conditionalFormatting sqref="B5:H5">
    <cfRule type="expression" dxfId="112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0F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0F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2024年11月">
    <tabColor theme="4" tint="-0.499984740745262"/>
    <pageSetUpPr fitToPage="1"/>
  </sheetPr>
  <dimension ref="A1:Z14"/>
  <sheetViews>
    <sheetView showGridLines="0" showRuler="0" zoomScaleNormal="100" workbookViewId="0">
      <pane ySplit="2" topLeftCell="A3" activePane="bottomLeft" state="frozen"/>
      <selection pane="bottomLeft"/>
    </sheetView>
  </sheetViews>
  <sheetFormatPr baseColWidth="10" defaultColWidth="8.83203125" defaultRowHeight="16"/>
  <cols>
    <col min="1" max="1" width="2.1640625" style="147" customWidth="1"/>
    <col min="2" max="6" width="28.1640625" style="147" customWidth="1"/>
    <col min="7" max="8" width="20.6640625" style="147" customWidth="1"/>
    <col min="9" max="26" width="8.83203125" style="147"/>
  </cols>
  <sheetData>
    <row r="1" spans="1:26" ht="45" customHeight="1">
      <c r="B1" s="77">
        <f ca="1">YEAR(TODAY())</f>
        <v>2025</v>
      </c>
      <c r="C1" s="202" t="s">
        <v>83</v>
      </c>
      <c r="D1" s="201"/>
      <c r="E1" s="63" t="s">
        <v>1</v>
      </c>
    </row>
    <row r="2" spans="1:26" ht="19.5" customHeight="1" thickBot="1">
      <c r="B2" s="64">
        <v>45222</v>
      </c>
      <c r="C2" s="64">
        <v>45223</v>
      </c>
      <c r="D2" s="64">
        <v>45224</v>
      </c>
      <c r="E2" s="64">
        <v>45225</v>
      </c>
      <c r="F2" s="64">
        <v>45226</v>
      </c>
      <c r="G2" s="64">
        <v>45227</v>
      </c>
      <c r="H2" s="64">
        <v>45228</v>
      </c>
    </row>
    <row r="3" spans="1:26" ht="24" customHeight="1" thickTop="1">
      <c r="B3" s="78">
        <v>45593</v>
      </c>
      <c r="C3" s="78">
        <v>45594</v>
      </c>
      <c r="D3" s="78">
        <v>45595</v>
      </c>
      <c r="E3" s="78">
        <v>45596</v>
      </c>
      <c r="F3" s="78">
        <v>45597</v>
      </c>
      <c r="G3" s="78">
        <v>45598</v>
      </c>
      <c r="H3" s="78">
        <v>45599</v>
      </c>
    </row>
    <row r="4" spans="1:26" s="145" customFormat="1" ht="112.5" customHeight="1">
      <c r="A4" s="65"/>
      <c r="B4" s="69" t="s">
        <v>84</v>
      </c>
      <c r="C4" s="69" t="s">
        <v>6</v>
      </c>
      <c r="D4" s="69" t="s">
        <v>7</v>
      </c>
      <c r="E4" s="69" t="s">
        <v>85</v>
      </c>
      <c r="F4" s="69" t="s">
        <v>12</v>
      </c>
      <c r="G4" s="79"/>
      <c r="H4" s="79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24" customHeight="1">
      <c r="B5" s="68">
        <v>45600</v>
      </c>
      <c r="C5" s="68">
        <v>45601</v>
      </c>
      <c r="D5" s="68">
        <v>45602</v>
      </c>
      <c r="E5" s="68">
        <v>45603</v>
      </c>
      <c r="F5" s="68">
        <v>45604</v>
      </c>
      <c r="G5" s="80">
        <v>45605</v>
      </c>
      <c r="H5" s="80">
        <v>45606</v>
      </c>
    </row>
    <row r="6" spans="1:26" s="145" customFormat="1" ht="112.5" customHeight="1">
      <c r="A6" s="65"/>
      <c r="B6" s="69" t="s">
        <v>2</v>
      </c>
      <c r="C6" s="69" t="s">
        <v>18</v>
      </c>
      <c r="D6" s="69" t="s">
        <v>86</v>
      </c>
      <c r="E6" s="69" t="s">
        <v>73</v>
      </c>
      <c r="F6" s="69" t="s">
        <v>87</v>
      </c>
      <c r="G6" s="79"/>
      <c r="H6" s="79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24" customHeight="1">
      <c r="B7" s="68">
        <v>45607</v>
      </c>
      <c r="C7" s="68">
        <v>45608</v>
      </c>
      <c r="D7" s="68">
        <v>45609</v>
      </c>
      <c r="E7" s="68">
        <v>45610</v>
      </c>
      <c r="F7" s="68">
        <v>45611</v>
      </c>
      <c r="G7" s="80">
        <v>45612</v>
      </c>
      <c r="H7" s="80">
        <v>45613</v>
      </c>
    </row>
    <row r="8" spans="1:26" s="145" customFormat="1" ht="112.5" customHeight="1">
      <c r="A8" s="65"/>
      <c r="B8" s="70" t="s">
        <v>311</v>
      </c>
      <c r="C8" s="70" t="s">
        <v>6</v>
      </c>
      <c r="D8" s="70" t="s">
        <v>312</v>
      </c>
      <c r="E8" s="71" t="s">
        <v>313</v>
      </c>
      <c r="F8" s="70" t="s">
        <v>314</v>
      </c>
      <c r="G8" s="81"/>
      <c r="H8" s="81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24" customHeight="1">
      <c r="B9" s="68">
        <v>45614</v>
      </c>
      <c r="C9" s="68">
        <v>45615</v>
      </c>
      <c r="D9" s="68">
        <v>45616</v>
      </c>
      <c r="E9" s="68">
        <v>45617</v>
      </c>
      <c r="F9" s="68">
        <v>45618</v>
      </c>
      <c r="G9" s="80">
        <v>45619</v>
      </c>
      <c r="H9" s="80">
        <v>45620</v>
      </c>
    </row>
    <row r="10" spans="1:26" s="145" customFormat="1" ht="129" customHeight="1">
      <c r="A10" s="65"/>
      <c r="B10" s="71" t="s">
        <v>315</v>
      </c>
      <c r="C10" s="71" t="s">
        <v>88</v>
      </c>
      <c r="D10" s="71" t="s">
        <v>316</v>
      </c>
      <c r="E10" s="71" t="s">
        <v>317</v>
      </c>
      <c r="F10" s="14" t="s">
        <v>318</v>
      </c>
      <c r="G10" s="81"/>
      <c r="H10" s="81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27" customHeight="1">
      <c r="B11" s="68">
        <v>45621</v>
      </c>
      <c r="C11" s="68">
        <v>45622</v>
      </c>
      <c r="D11" s="68">
        <v>45623</v>
      </c>
      <c r="E11" s="68">
        <v>45624</v>
      </c>
      <c r="F11" s="82">
        <v>45625</v>
      </c>
      <c r="G11" s="83">
        <v>45626</v>
      </c>
      <c r="H11" s="84">
        <v>45627</v>
      </c>
    </row>
    <row r="12" spans="1:26" s="145" customFormat="1" ht="152.25" customHeight="1">
      <c r="A12" s="65"/>
      <c r="B12" s="66" t="s">
        <v>297</v>
      </c>
      <c r="C12" s="67" t="s">
        <v>298</v>
      </c>
      <c r="D12" s="67" t="s">
        <v>299</v>
      </c>
      <c r="E12" s="66" t="s">
        <v>300</v>
      </c>
      <c r="F12" s="67" t="s">
        <v>301</v>
      </c>
      <c r="G12" s="81"/>
      <c r="H12" s="81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23.25" customHeight="1">
      <c r="B13" s="85">
        <v>45628</v>
      </c>
      <c r="C13" s="85">
        <v>45629</v>
      </c>
      <c r="D13" s="85">
        <v>45630</v>
      </c>
      <c r="E13" s="85">
        <v>45631</v>
      </c>
      <c r="F13" s="85">
        <v>45632</v>
      </c>
      <c r="G13" s="86">
        <v>45633</v>
      </c>
      <c r="H13" s="86">
        <v>45634</v>
      </c>
    </row>
    <row r="14" spans="1:26" s="145" customFormat="1" ht="112.5" customHeight="1">
      <c r="A14" s="65"/>
      <c r="B14" s="67" t="s">
        <v>319</v>
      </c>
      <c r="C14" s="67" t="s">
        <v>302</v>
      </c>
      <c r="D14" s="66" t="s">
        <v>303</v>
      </c>
      <c r="E14" s="67" t="s">
        <v>320</v>
      </c>
      <c r="F14" s="67" t="s">
        <v>321</v>
      </c>
      <c r="G14" s="81"/>
      <c r="H14" s="81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</sheetData>
  <mergeCells count="1">
    <mergeCell ref="C1:D1"/>
  </mergeCells>
  <phoneticPr fontId="75" type="noConversion"/>
  <conditionalFormatting sqref="B3:H3">
    <cfRule type="expression" dxfId="111" priority="1">
      <formula>MonthToDisplayNumber&lt;&gt;MONTH(B3)</formula>
    </cfRule>
  </conditionalFormatting>
  <conditionalFormatting sqref="B13:H13">
    <cfRule type="expression" dxfId="110" priority="2">
      <formula>MonthToDisplayNumber&lt;&gt;MONTH(B13)</formula>
    </cfRule>
  </conditionalFormatting>
  <conditionalFormatting sqref="B11:H11">
    <cfRule type="expression" dxfId="109" priority="3">
      <formula>MonthToDisplayNumber&lt;&gt;MONTH(B11)</formula>
    </cfRule>
  </conditionalFormatting>
  <conditionalFormatting sqref="B9:H9">
    <cfRule type="expression" dxfId="108" priority="4">
      <formula>MonthToDisplayNumber&lt;&gt;MONTH(B9)</formula>
    </cfRule>
  </conditionalFormatting>
  <conditionalFormatting sqref="B7:H7">
    <cfRule type="expression" dxfId="107" priority="5">
      <formula>MonthToDisplayNumber&lt;&gt;MONTH(B7)</formula>
    </cfRule>
  </conditionalFormatting>
  <conditionalFormatting sqref="B5:H5">
    <cfRule type="expression" dxfId="106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11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1100-000002000000}">
      <formula1>"星期一,星期二,星期三,星期四,星期五,星期六,星期日"</formula1>
    </dataValidation>
  </dataValidations>
  <hyperlinks>
    <hyperlink ref="B12" r:id="rId1" xr:uid="{00000000-0004-0000-11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2025-2">
    <tabColor theme="4" tint="-0.499984740745262"/>
    <pageSetUpPr fitToPage="1"/>
  </sheetPr>
  <dimension ref="A1:Z14"/>
  <sheetViews>
    <sheetView showGridLines="0" tabSelected="1" showRuler="0" zoomScaleNormal="100" workbookViewId="0">
      <pane ySplit="2" topLeftCell="A7" activePane="bottomLeft" state="frozen"/>
      <selection pane="bottomLeft" activeCell="D10" sqref="D10"/>
    </sheetView>
  </sheetViews>
  <sheetFormatPr baseColWidth="10" defaultRowHeight="16"/>
  <cols>
    <col min="1" max="1" width="2.1640625" style="6" customWidth="1"/>
    <col min="2" max="2" width="28.1640625" style="6" customWidth="1"/>
    <col min="3" max="3" width="25.5" style="6" customWidth="1"/>
    <col min="4" max="4" width="30" style="6" customWidth="1"/>
    <col min="5" max="6" width="28.1640625" style="6" customWidth="1"/>
    <col min="7" max="7" width="23.5" style="6" customWidth="1"/>
    <col min="8" max="8" width="20.6640625" style="6" customWidth="1"/>
    <col min="9" max="26" width="8.83203125" style="6"/>
  </cols>
  <sheetData>
    <row r="1" spans="1:26" ht="45" customHeight="1">
      <c r="B1" s="156" t="s">
        <v>350</v>
      </c>
      <c r="C1" s="156"/>
      <c r="D1"/>
      <c r="E1"/>
    </row>
    <row r="2" spans="1:26" ht="46" customHeight="1" thickBot="1">
      <c r="B2" s="157">
        <v>45250</v>
      </c>
      <c r="C2" s="157">
        <v>45251</v>
      </c>
      <c r="D2" s="157">
        <v>45252</v>
      </c>
      <c r="E2" s="157">
        <v>45253</v>
      </c>
      <c r="F2" s="157">
        <v>45254</v>
      </c>
      <c r="G2" s="158">
        <v>45255</v>
      </c>
      <c r="H2" s="158">
        <v>45256</v>
      </c>
    </row>
    <row r="3" spans="1:26" ht="24" customHeight="1" thickTop="1">
      <c r="B3" s="155">
        <v>46020</v>
      </c>
      <c r="C3" s="155">
        <v>46021</v>
      </c>
      <c r="D3" s="155">
        <v>46022</v>
      </c>
      <c r="E3" s="160">
        <v>46023</v>
      </c>
      <c r="F3" s="160">
        <v>46024</v>
      </c>
      <c r="G3" s="160">
        <v>46025</v>
      </c>
      <c r="H3" s="160">
        <v>46026</v>
      </c>
    </row>
    <row r="4" spans="1:26" s="148" customFormat="1" ht="112.5" customHeight="1">
      <c r="A4" s="6"/>
      <c r="B4" s="149"/>
      <c r="C4" s="149"/>
      <c r="D4" s="149"/>
      <c r="E4" s="149"/>
      <c r="F4" s="149"/>
      <c r="G4" s="149"/>
      <c r="H4" s="14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customHeight="1">
      <c r="B5" s="160">
        <v>46027</v>
      </c>
      <c r="C5" s="160">
        <v>46028</v>
      </c>
      <c r="D5" s="160">
        <v>46029</v>
      </c>
      <c r="E5" s="160">
        <v>46030</v>
      </c>
      <c r="F5" s="160">
        <v>46031</v>
      </c>
      <c r="G5" s="160">
        <v>46032</v>
      </c>
      <c r="H5" s="160">
        <v>46033</v>
      </c>
    </row>
    <row r="6" spans="1:26" s="148" customFormat="1" ht="112.5" customHeight="1">
      <c r="A6" s="6"/>
      <c r="B6" s="153"/>
      <c r="C6" s="150"/>
      <c r="D6" s="151"/>
      <c r="E6" s="151"/>
      <c r="F6" s="151"/>
      <c r="G6" s="152"/>
      <c r="H6" s="5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5" customHeight="1">
      <c r="B7" s="160">
        <v>46034</v>
      </c>
      <c r="C7" s="160">
        <v>46035</v>
      </c>
      <c r="D7" s="160">
        <v>46036</v>
      </c>
      <c r="E7" s="160">
        <v>46037</v>
      </c>
      <c r="F7" s="160">
        <v>46038</v>
      </c>
      <c r="G7" s="160">
        <v>46039</v>
      </c>
      <c r="H7" s="160">
        <v>46040</v>
      </c>
    </row>
    <row r="8" spans="1:26" s="148" customFormat="1" ht="112.5" customHeight="1">
      <c r="A8" s="6"/>
      <c r="B8" s="151"/>
      <c r="C8" s="151"/>
      <c r="D8" s="152"/>
      <c r="E8" s="152"/>
      <c r="F8" s="152"/>
      <c r="G8" s="154"/>
      <c r="H8" s="15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customHeight="1">
      <c r="B9" s="160">
        <v>46041</v>
      </c>
      <c r="C9" s="160">
        <v>46042</v>
      </c>
      <c r="D9" s="160">
        <v>46043</v>
      </c>
      <c r="E9" s="160">
        <v>46044</v>
      </c>
      <c r="F9" s="160">
        <v>46045</v>
      </c>
      <c r="G9" s="160">
        <v>46046</v>
      </c>
      <c r="H9" s="160">
        <v>46047</v>
      </c>
    </row>
    <row r="10" spans="1:26" s="148" customFormat="1" ht="112.5" customHeight="1">
      <c r="A10" s="6"/>
      <c r="B10" s="152"/>
      <c r="C10" s="152"/>
      <c r="D10" s="152"/>
      <c r="E10" s="152"/>
      <c r="F10" s="152"/>
      <c r="G10" s="154"/>
      <c r="H10" s="15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customHeight="1">
      <c r="B11" s="160">
        <v>46048</v>
      </c>
      <c r="C11" s="160">
        <v>46049</v>
      </c>
      <c r="D11" s="160">
        <v>46050</v>
      </c>
      <c r="E11" s="160">
        <v>46051</v>
      </c>
      <c r="F11" s="160">
        <v>46052</v>
      </c>
      <c r="G11" s="155">
        <v>46053</v>
      </c>
      <c r="H11" s="159">
        <v>46054</v>
      </c>
    </row>
    <row r="12" spans="1:26" s="148" customFormat="1" ht="112.5" customHeight="1">
      <c r="A12" s="6"/>
      <c r="B12" s="152"/>
      <c r="C12" s="152"/>
      <c r="D12" s="152"/>
      <c r="E12" s="152"/>
      <c r="F12" s="152"/>
      <c r="G12" s="154"/>
      <c r="H12" s="15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3.25" customHeight="1">
      <c r="B13" s="155">
        <v>46055</v>
      </c>
      <c r="C13" s="155">
        <v>46056</v>
      </c>
      <c r="D13" s="155">
        <v>46057</v>
      </c>
      <c r="E13" s="155">
        <v>46058</v>
      </c>
      <c r="F13" s="155">
        <v>46059</v>
      </c>
      <c r="G13" s="155">
        <v>46060</v>
      </c>
      <c r="H13" s="155">
        <v>46061</v>
      </c>
    </row>
    <row r="14" spans="1:26" s="148" customFormat="1" ht="112.5" customHeight="1">
      <c r="A14" s="6"/>
      <c r="B14" s="152"/>
      <c r="C14" s="152"/>
      <c r="D14" s="152"/>
      <c r="E14" s="152"/>
      <c r="F14" s="152"/>
      <c r="G14" s="151"/>
      <c r="H14" s="15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phoneticPr fontId="75" type="noConversion"/>
  <conditionalFormatting sqref="B3:H3">
    <cfRule type="expression" dxfId="105" priority="24">
      <formula>MonthToDisplayNumber&lt;&gt;MONTH(B3)</formula>
    </cfRule>
  </conditionalFormatting>
  <conditionalFormatting sqref="B3:H3">
    <cfRule type="expression" dxfId="104" priority="25">
      <formula>MonthToDisplayNumber&lt;&gt;MONTH(B3)</formula>
    </cfRule>
  </conditionalFormatting>
  <conditionalFormatting sqref="H11">
    <cfRule type="expression" dxfId="103" priority="13">
      <formula>MonthToDisplayNumber&lt;&gt;MONTH(H11)</formula>
    </cfRule>
  </conditionalFormatting>
  <conditionalFormatting sqref="H11">
    <cfRule type="expression" dxfId="102" priority="14">
      <formula>MonthToDisplayNumber&lt;&gt;MONTH(H11)</formula>
    </cfRule>
  </conditionalFormatting>
  <conditionalFormatting sqref="B5:H5">
    <cfRule type="expression" dxfId="101" priority="9">
      <formula>MonthToDisplayNumber&lt;&gt;MONTH(B5)</formula>
    </cfRule>
  </conditionalFormatting>
  <conditionalFormatting sqref="B5:H5">
    <cfRule type="expression" dxfId="100" priority="10">
      <formula>MonthToDisplayNumber&lt;&gt;MONTH(B5)</formula>
    </cfRule>
  </conditionalFormatting>
  <conditionalFormatting sqref="B7:H7">
    <cfRule type="expression" dxfId="99" priority="7">
      <formula>MonthToDisplayNumber&lt;&gt;MONTH(B7)</formula>
    </cfRule>
  </conditionalFormatting>
  <conditionalFormatting sqref="B7:H7">
    <cfRule type="expression" dxfId="98" priority="8">
      <formula>MonthToDisplayNumber&lt;&gt;MONTH(B7)</formula>
    </cfRule>
  </conditionalFormatting>
  <conditionalFormatting sqref="B9:H9">
    <cfRule type="expression" dxfId="97" priority="5">
      <formula>MonthToDisplayNumber&lt;&gt;MONTH(B9)</formula>
    </cfRule>
  </conditionalFormatting>
  <conditionalFormatting sqref="B9:H9">
    <cfRule type="expression" dxfId="96" priority="6">
      <formula>MonthToDisplayNumber&lt;&gt;MONTH(B9)</formula>
    </cfRule>
  </conditionalFormatting>
  <conditionalFormatting sqref="B11:G11">
    <cfRule type="expression" dxfId="95" priority="3">
      <formula>MonthToDisplayNumber&lt;&gt;MONTH(B11)</formula>
    </cfRule>
  </conditionalFormatting>
  <conditionalFormatting sqref="B11:G11">
    <cfRule type="expression" dxfId="94" priority="4">
      <formula>MonthToDisplayNumber&lt;&gt;MONTH(B11)</formula>
    </cfRule>
  </conditionalFormatting>
  <conditionalFormatting sqref="B13:H13">
    <cfRule type="expression" dxfId="93" priority="1">
      <formula>MonthToDisplayNumber&lt;&gt;MONTH(B13)</formula>
    </cfRule>
  </conditionalFormatting>
  <conditionalFormatting sqref="B13:H13">
    <cfRule type="expression" dxfId="92" priority="2">
      <formula>MonthToDisplayNumber&lt;&gt;MONTH(B13)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7EBA-84A9-E449-9C6E-5CB7D08472FB}">
  <sheetPr>
    <tabColor theme="4" tint="-0.499984740745262"/>
    <pageSetUpPr fitToPage="1"/>
  </sheetPr>
  <dimension ref="A1:Z14"/>
  <sheetViews>
    <sheetView showGridLines="0" showRuler="0" zoomScaleNormal="100" workbookViewId="0">
      <pane ySplit="2" topLeftCell="A6" activePane="bottomLeft" state="frozen"/>
      <selection pane="bottomLeft" activeCell="H12" sqref="H12"/>
    </sheetView>
  </sheetViews>
  <sheetFormatPr baseColWidth="10" defaultRowHeight="16"/>
  <cols>
    <col min="1" max="1" width="2.1640625" style="6" customWidth="1"/>
    <col min="2" max="2" width="28.1640625" style="6" customWidth="1"/>
    <col min="3" max="3" width="25.5" style="6" customWidth="1"/>
    <col min="4" max="4" width="30" style="6" customWidth="1"/>
    <col min="5" max="6" width="28.1640625" style="6" customWidth="1"/>
    <col min="7" max="7" width="23.5" style="6" customWidth="1"/>
    <col min="8" max="8" width="20.6640625" style="6" customWidth="1"/>
    <col min="9" max="26" width="10.83203125" style="6"/>
  </cols>
  <sheetData>
    <row r="1" spans="1:26" ht="45" customHeight="1">
      <c r="B1" s="156" t="s">
        <v>351</v>
      </c>
      <c r="C1" s="156"/>
      <c r="D1"/>
      <c r="E1"/>
    </row>
    <row r="2" spans="1:26" ht="46" customHeight="1" thickBot="1">
      <c r="B2" s="157">
        <v>45250</v>
      </c>
      <c r="C2" s="157">
        <v>45251</v>
      </c>
      <c r="D2" s="157">
        <v>45252</v>
      </c>
      <c r="E2" s="157">
        <v>45253</v>
      </c>
      <c r="F2" s="157">
        <v>45254</v>
      </c>
      <c r="G2" s="158">
        <v>45255</v>
      </c>
      <c r="H2" s="158">
        <v>45256</v>
      </c>
    </row>
    <row r="3" spans="1:26" ht="24" customHeight="1">
      <c r="B3" s="155">
        <v>46048</v>
      </c>
      <c r="C3" s="155">
        <v>46049</v>
      </c>
      <c r="D3" s="155">
        <v>46050</v>
      </c>
      <c r="E3" s="155">
        <v>46051</v>
      </c>
      <c r="F3" s="155">
        <v>46052</v>
      </c>
      <c r="G3" s="155">
        <v>46053</v>
      </c>
      <c r="H3" s="155">
        <v>46054</v>
      </c>
    </row>
    <row r="4" spans="1:26" s="148" customFormat="1" ht="112.5" customHeight="1">
      <c r="A4" s="6"/>
      <c r="B4" s="149"/>
      <c r="C4" s="149"/>
      <c r="D4" s="149"/>
      <c r="E4" s="149"/>
      <c r="F4" s="149"/>
      <c r="G4" s="149"/>
      <c r="H4" s="14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customHeight="1">
      <c r="B5" s="160">
        <v>46055</v>
      </c>
      <c r="C5" s="160">
        <v>46056</v>
      </c>
      <c r="D5" s="160">
        <v>46057</v>
      </c>
      <c r="E5" s="160">
        <v>46058</v>
      </c>
      <c r="F5" s="160">
        <v>46059</v>
      </c>
      <c r="G5" s="155">
        <v>46060</v>
      </c>
      <c r="H5" s="155">
        <v>46061</v>
      </c>
    </row>
    <row r="6" spans="1:26" s="148" customFormat="1" ht="112.5" customHeight="1">
      <c r="A6" s="6"/>
      <c r="B6" s="153"/>
      <c r="C6" s="150"/>
      <c r="D6" s="151"/>
      <c r="E6" s="151"/>
      <c r="F6" s="151"/>
      <c r="G6" s="152"/>
      <c r="H6" s="5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5" customHeight="1">
      <c r="B7" s="160">
        <v>46062</v>
      </c>
      <c r="C7" s="160">
        <v>46063</v>
      </c>
      <c r="D7" s="160">
        <v>46064</v>
      </c>
      <c r="E7" s="160">
        <v>46065</v>
      </c>
      <c r="F7" s="160">
        <v>46066</v>
      </c>
      <c r="G7" s="155">
        <v>46067</v>
      </c>
      <c r="H7" s="155">
        <v>46068</v>
      </c>
    </row>
    <row r="8" spans="1:26" s="148" customFormat="1" ht="112.5" customHeight="1">
      <c r="A8" s="6"/>
      <c r="B8" s="151"/>
      <c r="C8" s="151"/>
      <c r="D8" s="152"/>
      <c r="E8" s="152"/>
      <c r="F8" s="152"/>
      <c r="G8" s="205" t="s">
        <v>352</v>
      </c>
      <c r="H8" s="205" t="s">
        <v>353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customHeight="1">
      <c r="B9" s="160">
        <v>46069</v>
      </c>
      <c r="C9" s="160">
        <v>46070</v>
      </c>
      <c r="D9" s="160">
        <v>46071</v>
      </c>
      <c r="E9" s="160">
        <v>46072</v>
      </c>
      <c r="F9" s="160">
        <v>46073</v>
      </c>
      <c r="G9" s="155">
        <v>46074</v>
      </c>
      <c r="H9" s="155">
        <v>46075</v>
      </c>
    </row>
    <row r="10" spans="1:26" s="148" customFormat="1" ht="112.5" customHeight="1">
      <c r="A10" s="6"/>
      <c r="B10" s="152" t="s">
        <v>353</v>
      </c>
      <c r="C10" s="152" t="s">
        <v>353</v>
      </c>
      <c r="D10" s="152" t="s">
        <v>353</v>
      </c>
      <c r="E10" s="152" t="s">
        <v>353</v>
      </c>
      <c r="F10" s="152" t="s">
        <v>353</v>
      </c>
      <c r="G10" s="154" t="s">
        <v>353</v>
      </c>
      <c r="H10" s="154" t="s">
        <v>353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customHeight="1">
      <c r="B11" s="160">
        <v>46076</v>
      </c>
      <c r="C11" s="160">
        <v>46077</v>
      </c>
      <c r="D11" s="160">
        <v>46078</v>
      </c>
      <c r="E11" s="160">
        <v>46079</v>
      </c>
      <c r="F11" s="160">
        <v>46080</v>
      </c>
      <c r="G11" s="155">
        <v>46081</v>
      </c>
      <c r="H11" s="155">
        <v>46082</v>
      </c>
    </row>
    <row r="12" spans="1:26" s="148" customFormat="1" ht="112.5" customHeight="1">
      <c r="A12" s="6"/>
      <c r="B12" s="152" t="s">
        <v>353</v>
      </c>
      <c r="C12" s="152"/>
      <c r="D12" s="152"/>
      <c r="E12" s="152"/>
      <c r="F12" s="152"/>
      <c r="G12" s="154" t="s">
        <v>352</v>
      </c>
      <c r="H12" s="15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3.25" customHeight="1">
      <c r="B13" s="161">
        <v>46083</v>
      </c>
      <c r="C13" s="161">
        <v>46084</v>
      </c>
      <c r="D13" s="161">
        <v>46085</v>
      </c>
      <c r="E13" s="161">
        <v>46086</v>
      </c>
      <c r="F13" s="161">
        <v>46087</v>
      </c>
      <c r="G13" s="161">
        <v>46088</v>
      </c>
      <c r="H13" s="161">
        <v>46089</v>
      </c>
    </row>
    <row r="14" spans="1:26" s="148" customFormat="1" ht="112.5" customHeight="1">
      <c r="A14" s="6"/>
      <c r="B14" s="152"/>
      <c r="C14" s="152"/>
      <c r="D14" s="152"/>
      <c r="E14" s="152"/>
      <c r="F14" s="152"/>
      <c r="G14" s="151"/>
      <c r="H14" s="15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phoneticPr fontId="75" type="noConversion"/>
  <conditionalFormatting sqref="B3:H3">
    <cfRule type="expression" dxfId="91" priority="29">
      <formula>MonthToDisplayNumber&lt;&gt;MONTH(B3)</formula>
    </cfRule>
  </conditionalFormatting>
  <conditionalFormatting sqref="B3:H3">
    <cfRule type="expression" dxfId="90" priority="30">
      <formula>MonthToDisplayNumber&lt;&gt;MONTH(B3)</formula>
    </cfRule>
  </conditionalFormatting>
  <conditionalFormatting sqref="B7:F7">
    <cfRule type="expression" dxfId="89" priority="23">
      <formula>MonthToDisplayNumber&lt;&gt;MONTH(B7)</formula>
    </cfRule>
  </conditionalFormatting>
  <conditionalFormatting sqref="B7:F7">
    <cfRule type="expression" dxfId="88" priority="24">
      <formula>MonthToDisplayNumber&lt;&gt;MONTH(B7)</formula>
    </cfRule>
  </conditionalFormatting>
  <conditionalFormatting sqref="B5:F5">
    <cfRule type="expression" dxfId="87" priority="15">
      <formula>MonthToDisplayNumber&lt;&gt;MONTH(B5)</formula>
    </cfRule>
  </conditionalFormatting>
  <conditionalFormatting sqref="B5:F5">
    <cfRule type="expression" dxfId="86" priority="16">
      <formula>MonthToDisplayNumber&lt;&gt;MONTH(B5)</formula>
    </cfRule>
  </conditionalFormatting>
  <conditionalFormatting sqref="B9:F9">
    <cfRule type="expression" dxfId="85" priority="13">
      <formula>MonthToDisplayNumber&lt;&gt;MONTH(B9)</formula>
    </cfRule>
  </conditionalFormatting>
  <conditionalFormatting sqref="B9:F9">
    <cfRule type="expression" dxfId="84" priority="14">
      <formula>MonthToDisplayNumber&lt;&gt;MONTH(B9)</formula>
    </cfRule>
  </conditionalFormatting>
  <conditionalFormatting sqref="B11:F11">
    <cfRule type="expression" dxfId="83" priority="11">
      <formula>MonthToDisplayNumber&lt;&gt;MONTH(B11)</formula>
    </cfRule>
  </conditionalFormatting>
  <conditionalFormatting sqref="B11:F11">
    <cfRule type="expression" dxfId="82" priority="12">
      <formula>MonthToDisplayNumber&lt;&gt;MONTH(B11)</formula>
    </cfRule>
  </conditionalFormatting>
  <conditionalFormatting sqref="B13:H13">
    <cfRule type="expression" dxfId="81" priority="9">
      <formula>MonthToDisplayNumber&lt;&gt;MONTH(B13)</formula>
    </cfRule>
  </conditionalFormatting>
  <conditionalFormatting sqref="B13:H13">
    <cfRule type="expression" dxfId="80" priority="10">
      <formula>MonthToDisplayNumber&lt;&gt;MONTH(B13)</formula>
    </cfRule>
  </conditionalFormatting>
  <conditionalFormatting sqref="G5:H5">
    <cfRule type="expression" dxfId="79" priority="7">
      <formula>MonthToDisplayNumber&lt;&gt;MONTH(G5)</formula>
    </cfRule>
  </conditionalFormatting>
  <conditionalFormatting sqref="G5:H5">
    <cfRule type="expression" dxfId="78" priority="8">
      <formula>MonthToDisplayNumber&lt;&gt;MONTH(G5)</formula>
    </cfRule>
  </conditionalFormatting>
  <conditionalFormatting sqref="G7:H7">
    <cfRule type="expression" dxfId="77" priority="5">
      <formula>MonthToDisplayNumber&lt;&gt;MONTH(G7)</formula>
    </cfRule>
  </conditionalFormatting>
  <conditionalFormatting sqref="G7:H7">
    <cfRule type="expression" dxfId="76" priority="6">
      <formula>MonthToDisplayNumber&lt;&gt;MONTH(G7)</formula>
    </cfRule>
  </conditionalFormatting>
  <conditionalFormatting sqref="G9:H9">
    <cfRule type="expression" dxfId="75" priority="3">
      <formula>MonthToDisplayNumber&lt;&gt;MONTH(G9)</formula>
    </cfRule>
  </conditionalFormatting>
  <conditionalFormatting sqref="G9:H9">
    <cfRule type="expression" dxfId="74" priority="4">
      <formula>MonthToDisplayNumber&lt;&gt;MONTH(G9)</formula>
    </cfRule>
  </conditionalFormatting>
  <conditionalFormatting sqref="G11:H11">
    <cfRule type="expression" dxfId="73" priority="1">
      <formula>MonthToDisplayNumber&lt;&gt;MONTH(G11)</formula>
    </cfRule>
  </conditionalFormatting>
  <conditionalFormatting sqref="G11:H11">
    <cfRule type="expression" dxfId="72" priority="2">
      <formula>MonthToDisplayNumber&lt;&gt;MONTH(G11)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2025-6">
    <tabColor theme="4" tint="-0.499984740745262"/>
    <pageSetUpPr fitToPage="1"/>
  </sheetPr>
  <dimension ref="A1:Z14"/>
  <sheetViews>
    <sheetView showGridLines="0" showRuler="0" zoomScaleNormal="100" workbookViewId="0">
      <pane ySplit="2" topLeftCell="A3" activePane="bottomLeft" state="frozen"/>
      <selection pane="bottomLeft"/>
    </sheetView>
  </sheetViews>
  <sheetFormatPr baseColWidth="10" defaultRowHeight="16"/>
  <cols>
    <col min="1" max="1" width="2.1640625" style="6" customWidth="1"/>
    <col min="2" max="6" width="28.1640625" style="6" customWidth="1"/>
    <col min="7" max="8" width="20.6640625" style="6" customWidth="1"/>
    <col min="9" max="26" width="8.83203125" style="6"/>
  </cols>
  <sheetData>
    <row r="1" spans="1:26" ht="45" customHeight="1">
      <c r="B1" s="1">
        <v>2025</v>
      </c>
      <c r="C1" s="203" t="s">
        <v>0</v>
      </c>
      <c r="D1" s="204"/>
      <c r="E1" s="2" t="s">
        <v>1</v>
      </c>
    </row>
    <row r="2" spans="1:26" ht="19.5" customHeight="1" thickBot="1">
      <c r="B2" s="3">
        <v>45250</v>
      </c>
      <c r="C2" s="3">
        <v>45251</v>
      </c>
      <c r="D2" s="3">
        <v>45252</v>
      </c>
      <c r="E2" s="3">
        <v>45253</v>
      </c>
      <c r="F2" s="3">
        <v>45254</v>
      </c>
      <c r="G2" s="3">
        <v>45255</v>
      </c>
      <c r="H2" s="3">
        <v>45256</v>
      </c>
    </row>
    <row r="3" spans="1:26" ht="24" customHeight="1" thickTop="1">
      <c r="B3" s="4">
        <v>26</v>
      </c>
      <c r="C3" s="4">
        <v>27</v>
      </c>
      <c r="D3" s="4">
        <v>28</v>
      </c>
      <c r="E3" s="5">
        <v>29</v>
      </c>
      <c r="F3" s="5">
        <v>30</v>
      </c>
      <c r="G3" s="5">
        <v>31</v>
      </c>
      <c r="H3" s="5">
        <v>1</v>
      </c>
    </row>
    <row r="4" spans="1:26" s="148" customFormat="1" ht="112.5" customHeight="1">
      <c r="A4" s="6"/>
      <c r="B4" s="7" t="s">
        <v>2</v>
      </c>
      <c r="C4" s="7" t="s">
        <v>264</v>
      </c>
      <c r="D4" s="7" t="s">
        <v>3</v>
      </c>
      <c r="E4" s="7" t="s">
        <v>4</v>
      </c>
      <c r="F4" s="7" t="s">
        <v>265</v>
      </c>
      <c r="G4" s="8" t="s">
        <v>5</v>
      </c>
      <c r="H4" s="8" t="s">
        <v>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customHeight="1"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</row>
    <row r="6" spans="1:26" s="148" customFormat="1" ht="112.5" customHeight="1">
      <c r="A6" s="6"/>
      <c r="B6" s="8" t="s">
        <v>5</v>
      </c>
      <c r="C6" s="10" t="s">
        <v>266</v>
      </c>
      <c r="D6" s="10" t="s">
        <v>6</v>
      </c>
      <c r="E6" s="10" t="s">
        <v>7</v>
      </c>
      <c r="F6" s="10" t="s">
        <v>8</v>
      </c>
      <c r="G6" s="11"/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5" customHeight="1">
      <c r="B7" s="5">
        <v>9</v>
      </c>
      <c r="C7" s="5">
        <v>10</v>
      </c>
      <c r="D7" s="5">
        <v>11</v>
      </c>
      <c r="E7" s="5">
        <v>12</v>
      </c>
      <c r="F7" s="5">
        <v>13</v>
      </c>
      <c r="G7" s="5">
        <v>14</v>
      </c>
      <c r="H7" s="5">
        <v>15</v>
      </c>
    </row>
    <row r="8" spans="1:26" s="148" customFormat="1" ht="112.5" customHeight="1">
      <c r="A8" s="6"/>
      <c r="B8" s="10" t="s">
        <v>9</v>
      </c>
      <c r="C8" s="10" t="s">
        <v>10</v>
      </c>
      <c r="D8" s="10" t="s">
        <v>267</v>
      </c>
      <c r="E8" s="10" t="s">
        <v>268</v>
      </c>
      <c r="F8" s="10" t="s">
        <v>11</v>
      </c>
      <c r="G8" s="12"/>
      <c r="H8" s="1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customHeight="1">
      <c r="B9" s="5">
        <v>16</v>
      </c>
      <c r="C9" s="5">
        <v>17</v>
      </c>
      <c r="D9" s="5">
        <v>18</v>
      </c>
      <c r="E9" s="5">
        <v>19</v>
      </c>
      <c r="F9" s="5">
        <v>20</v>
      </c>
      <c r="G9" s="5">
        <v>21</v>
      </c>
      <c r="H9" s="5">
        <v>22</v>
      </c>
    </row>
    <row r="10" spans="1:26" s="148" customFormat="1" ht="112.5" customHeight="1">
      <c r="A10" s="6"/>
      <c r="B10" s="10" t="s">
        <v>269</v>
      </c>
      <c r="C10" s="13" t="s">
        <v>270</v>
      </c>
      <c r="D10" s="14" t="s">
        <v>6</v>
      </c>
      <c r="E10" s="14" t="s">
        <v>7</v>
      </c>
      <c r="F10" s="14" t="s">
        <v>8</v>
      </c>
      <c r="G10" s="12"/>
      <c r="H10" s="1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customHeight="1">
      <c r="B11" s="5">
        <v>23</v>
      </c>
      <c r="C11" s="5">
        <v>24</v>
      </c>
      <c r="D11" s="5">
        <v>25</v>
      </c>
      <c r="E11" s="4">
        <v>26</v>
      </c>
      <c r="F11" s="4">
        <v>27</v>
      </c>
      <c r="G11" s="4">
        <v>28</v>
      </c>
      <c r="H11" s="4">
        <v>29</v>
      </c>
    </row>
    <row r="12" spans="1:26" s="148" customFormat="1" ht="112.5" customHeight="1">
      <c r="A12" s="6"/>
      <c r="B12" s="14" t="s">
        <v>12</v>
      </c>
      <c r="C12" s="14" t="s">
        <v>2</v>
      </c>
      <c r="D12" s="14" t="s">
        <v>271</v>
      </c>
      <c r="E12" s="14" t="s">
        <v>272</v>
      </c>
      <c r="F12" s="14" t="s">
        <v>4</v>
      </c>
      <c r="G12" s="12"/>
      <c r="H12" s="1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3.25" customHeight="1">
      <c r="B13" s="15">
        <v>30</v>
      </c>
      <c r="C13" s="15">
        <v>1</v>
      </c>
      <c r="D13" s="15">
        <v>2</v>
      </c>
      <c r="E13" s="9">
        <v>3</v>
      </c>
      <c r="F13" s="9">
        <v>4</v>
      </c>
      <c r="G13" s="9">
        <v>5</v>
      </c>
      <c r="H13" s="9">
        <v>6</v>
      </c>
    </row>
    <row r="14" spans="1:26" s="148" customFormat="1" ht="112.5" customHeight="1">
      <c r="A14" s="6"/>
      <c r="B14" s="14" t="s">
        <v>273</v>
      </c>
      <c r="C14" s="16" t="s">
        <v>274</v>
      </c>
      <c r="D14" s="16" t="s">
        <v>6</v>
      </c>
      <c r="E14" s="16" t="s">
        <v>7</v>
      </c>
      <c r="F14" s="16" t="s">
        <v>8</v>
      </c>
      <c r="G14" s="11"/>
      <c r="H14" s="1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mergeCells count="1">
    <mergeCell ref="C1:D1"/>
  </mergeCells>
  <phoneticPr fontId="75" type="noConversion"/>
  <conditionalFormatting sqref="B5:H5">
    <cfRule type="expression" dxfId="71" priority="1">
      <formula>MonthToDisplayNumber&lt;&gt;MONTH(B5)</formula>
    </cfRule>
  </conditionalFormatting>
  <conditionalFormatting sqref="E3:F3">
    <cfRule type="expression" dxfId="70" priority="2">
      <formula>MonthToDisplayNumber&lt;&gt;MONTH(E3)</formula>
    </cfRule>
  </conditionalFormatting>
  <conditionalFormatting sqref="E3:F3">
    <cfRule type="expression" dxfId="69" priority="3">
      <formula>MonthToDisplayNumber&lt;&gt;MONTH(E3)</formula>
    </cfRule>
  </conditionalFormatting>
  <conditionalFormatting sqref="H5">
    <cfRule type="expression" dxfId="68" priority="4">
      <formula>MonthToDisplayNumber&lt;&gt;MONTH(H5)</formula>
    </cfRule>
  </conditionalFormatting>
  <conditionalFormatting sqref="E5:H5">
    <cfRule type="expression" dxfId="67" priority="5">
      <formula>MonthToDisplayNumber&lt;&gt;MONTH(E5)</formula>
    </cfRule>
  </conditionalFormatting>
  <conditionalFormatting sqref="E3:H3">
    <cfRule type="expression" dxfId="66" priority="6">
      <formula>MonthToDisplayNumber&lt;&gt;MONTH(E3)</formula>
    </cfRule>
  </conditionalFormatting>
  <conditionalFormatting sqref="B3:H3">
    <cfRule type="expression" dxfId="65" priority="7">
      <formula>MonthToDisplayNumber&lt;&gt;MONTH(B3)</formula>
    </cfRule>
  </conditionalFormatting>
  <conditionalFormatting sqref="B3:H3 B13:H13">
    <cfRule type="expression" dxfId="64" priority="8">
      <formula>MonthToDisplayNumber&lt;&gt;MONTH(B3)</formula>
    </cfRule>
  </conditionalFormatting>
  <conditionalFormatting sqref="B11:H11">
    <cfRule type="expression" dxfId="63" priority="9">
      <formula>MonthToDisplayNumber&lt;&gt;MONTH(B11)</formula>
    </cfRule>
  </conditionalFormatting>
  <conditionalFormatting sqref="B9:H9">
    <cfRule type="expression" dxfId="62" priority="10">
      <formula>MonthToDisplayNumber&lt;&gt;MONTH(B9)</formula>
    </cfRule>
  </conditionalFormatting>
  <conditionalFormatting sqref="H3 B5:H5 B7:H7">
    <cfRule type="expression" dxfId="61" priority="11">
      <formula>MonthToDisplayNumber&lt;&gt;MONTH(B3)</formula>
    </cfRule>
  </conditionalFormatting>
  <conditionalFormatting sqref="E3:H3 B5:H5">
    <cfRule type="expression" dxfId="60" priority="12">
      <formula>MonthToDisplayNumber&lt;&gt;MONTH(B3)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18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18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2025-6">
    <tabColor theme="4" tint="-0.499984740745262"/>
    <pageSetUpPr fitToPage="1"/>
  </sheetPr>
  <dimension ref="A1:Z14"/>
  <sheetViews>
    <sheetView showGridLines="0" showRuler="0" zoomScaleNormal="100" workbookViewId="0">
      <pane ySplit="2" topLeftCell="A3" activePane="bottomLeft" state="frozen"/>
      <selection pane="bottomLeft"/>
    </sheetView>
  </sheetViews>
  <sheetFormatPr baseColWidth="10" defaultRowHeight="16"/>
  <cols>
    <col min="1" max="1" width="2.1640625" style="6" customWidth="1"/>
    <col min="2" max="6" width="28.1640625" style="6" customWidth="1"/>
    <col min="7" max="8" width="20.6640625" style="6" customWidth="1"/>
    <col min="9" max="26" width="8.83203125" style="6"/>
  </cols>
  <sheetData>
    <row r="1" spans="1:26" ht="45" customHeight="1">
      <c r="B1" s="1">
        <v>2025</v>
      </c>
      <c r="C1" s="203" t="s">
        <v>0</v>
      </c>
      <c r="D1" s="204"/>
      <c r="E1" s="2" t="s">
        <v>1</v>
      </c>
    </row>
    <row r="2" spans="1:26" ht="19.5" customHeight="1" thickBot="1">
      <c r="B2" s="3">
        <v>45250</v>
      </c>
      <c r="C2" s="3">
        <v>45251</v>
      </c>
      <c r="D2" s="3">
        <v>45252</v>
      </c>
      <c r="E2" s="3">
        <v>45253</v>
      </c>
      <c r="F2" s="3">
        <v>45254</v>
      </c>
      <c r="G2" s="3">
        <v>45255</v>
      </c>
      <c r="H2" s="3">
        <v>45256</v>
      </c>
    </row>
    <row r="3" spans="1:26" ht="24" customHeight="1" thickTop="1">
      <c r="B3" s="4">
        <v>26</v>
      </c>
      <c r="C3" s="4">
        <v>27</v>
      </c>
      <c r="D3" s="4">
        <v>28</v>
      </c>
      <c r="E3" s="5">
        <v>29</v>
      </c>
      <c r="F3" s="5">
        <v>30</v>
      </c>
      <c r="G3" s="5">
        <v>31</v>
      </c>
      <c r="H3" s="5">
        <v>1</v>
      </c>
    </row>
    <row r="4" spans="1:26" s="148" customFormat="1" ht="112.5" customHeight="1">
      <c r="A4" s="6"/>
      <c r="B4" s="7" t="s">
        <v>2</v>
      </c>
      <c r="C4" s="7" t="s">
        <v>264</v>
      </c>
      <c r="D4" s="7" t="s">
        <v>3</v>
      </c>
      <c r="E4" s="7" t="s">
        <v>4</v>
      </c>
      <c r="F4" s="7" t="s">
        <v>265</v>
      </c>
      <c r="G4" s="8" t="s">
        <v>5</v>
      </c>
      <c r="H4" s="8" t="s">
        <v>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customHeight="1"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</row>
    <row r="6" spans="1:26" s="148" customFormat="1" ht="112.5" customHeight="1">
      <c r="A6" s="6"/>
      <c r="B6" s="8" t="s">
        <v>5</v>
      </c>
      <c r="C6" s="10" t="s">
        <v>266</v>
      </c>
      <c r="D6" s="10" t="s">
        <v>6</v>
      </c>
      <c r="E6" s="10" t="s">
        <v>7</v>
      </c>
      <c r="F6" s="10" t="s">
        <v>8</v>
      </c>
      <c r="G6" s="11"/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5" customHeight="1">
      <c r="B7" s="5">
        <v>9</v>
      </c>
      <c r="C7" s="5">
        <v>10</v>
      </c>
      <c r="D7" s="5">
        <v>11</v>
      </c>
      <c r="E7" s="5">
        <v>12</v>
      </c>
      <c r="F7" s="5">
        <v>13</v>
      </c>
      <c r="G7" s="5">
        <v>14</v>
      </c>
      <c r="H7" s="5">
        <v>15</v>
      </c>
    </row>
    <row r="8" spans="1:26" s="148" customFormat="1" ht="112.5" customHeight="1">
      <c r="A8" s="6"/>
      <c r="B8" s="10" t="s">
        <v>9</v>
      </c>
      <c r="C8" s="10" t="s">
        <v>10</v>
      </c>
      <c r="D8" s="10" t="s">
        <v>267</v>
      </c>
      <c r="E8" s="10" t="s">
        <v>268</v>
      </c>
      <c r="F8" s="10" t="s">
        <v>11</v>
      </c>
      <c r="G8" s="12"/>
      <c r="H8" s="1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customHeight="1">
      <c r="B9" s="5">
        <v>16</v>
      </c>
      <c r="C9" s="5">
        <v>17</v>
      </c>
      <c r="D9" s="5">
        <v>18</v>
      </c>
      <c r="E9" s="5">
        <v>19</v>
      </c>
      <c r="F9" s="5">
        <v>20</v>
      </c>
      <c r="G9" s="5">
        <v>21</v>
      </c>
      <c r="H9" s="5">
        <v>22</v>
      </c>
    </row>
    <row r="10" spans="1:26" s="148" customFormat="1" ht="112.5" customHeight="1">
      <c r="A10" s="6"/>
      <c r="B10" s="10" t="s">
        <v>269</v>
      </c>
      <c r="C10" s="13" t="s">
        <v>270</v>
      </c>
      <c r="D10" s="14" t="s">
        <v>6</v>
      </c>
      <c r="E10" s="14" t="s">
        <v>7</v>
      </c>
      <c r="F10" s="14" t="s">
        <v>8</v>
      </c>
      <c r="G10" s="12"/>
      <c r="H10" s="1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customHeight="1">
      <c r="B11" s="5">
        <v>23</v>
      </c>
      <c r="C11" s="5">
        <v>24</v>
      </c>
      <c r="D11" s="5">
        <v>25</v>
      </c>
      <c r="E11" s="4">
        <v>26</v>
      </c>
      <c r="F11" s="4">
        <v>27</v>
      </c>
      <c r="G11" s="4">
        <v>28</v>
      </c>
      <c r="H11" s="4">
        <v>29</v>
      </c>
    </row>
    <row r="12" spans="1:26" s="148" customFormat="1" ht="112.5" customHeight="1">
      <c r="A12" s="6"/>
      <c r="B12" s="14" t="s">
        <v>12</v>
      </c>
      <c r="C12" s="14" t="s">
        <v>2</v>
      </c>
      <c r="D12" s="14" t="s">
        <v>271</v>
      </c>
      <c r="E12" s="14" t="s">
        <v>272</v>
      </c>
      <c r="F12" s="14" t="s">
        <v>4</v>
      </c>
      <c r="G12" s="12"/>
      <c r="H12" s="1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3.25" customHeight="1">
      <c r="B13" s="15">
        <v>30</v>
      </c>
      <c r="C13" s="15">
        <v>1</v>
      </c>
      <c r="D13" s="15">
        <v>2</v>
      </c>
      <c r="E13" s="9">
        <v>3</v>
      </c>
      <c r="F13" s="9">
        <v>4</v>
      </c>
      <c r="G13" s="9">
        <v>5</v>
      </c>
      <c r="H13" s="9">
        <v>6</v>
      </c>
    </row>
    <row r="14" spans="1:26" s="148" customFormat="1" ht="112.5" customHeight="1">
      <c r="A14" s="6"/>
      <c r="B14" s="14" t="s">
        <v>273</v>
      </c>
      <c r="C14" s="16" t="s">
        <v>274</v>
      </c>
      <c r="D14" s="16" t="s">
        <v>6</v>
      </c>
      <c r="E14" s="16" t="s">
        <v>7</v>
      </c>
      <c r="F14" s="16" t="s">
        <v>8</v>
      </c>
      <c r="G14" s="11"/>
      <c r="H14" s="1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mergeCells count="1">
    <mergeCell ref="C1:D1"/>
  </mergeCells>
  <phoneticPr fontId="75" type="noConversion"/>
  <conditionalFormatting sqref="B5:H5">
    <cfRule type="expression" dxfId="59" priority="1">
      <formula>MonthToDisplayNumber&lt;&gt;MONTH(B5)</formula>
    </cfRule>
  </conditionalFormatting>
  <conditionalFormatting sqref="E3:F3">
    <cfRule type="expression" dxfId="58" priority="2">
      <formula>MonthToDisplayNumber&lt;&gt;MONTH(E3)</formula>
    </cfRule>
  </conditionalFormatting>
  <conditionalFormatting sqref="E3:F3">
    <cfRule type="expression" dxfId="57" priority="3">
      <formula>MonthToDisplayNumber&lt;&gt;MONTH(E3)</formula>
    </cfRule>
  </conditionalFormatting>
  <conditionalFormatting sqref="H5">
    <cfRule type="expression" dxfId="56" priority="4">
      <formula>MonthToDisplayNumber&lt;&gt;MONTH(H5)</formula>
    </cfRule>
  </conditionalFormatting>
  <conditionalFormatting sqref="E5:H5">
    <cfRule type="expression" dxfId="55" priority="5">
      <formula>MonthToDisplayNumber&lt;&gt;MONTH(E5)</formula>
    </cfRule>
  </conditionalFormatting>
  <conditionalFormatting sqref="E3:H3">
    <cfRule type="expression" dxfId="54" priority="6">
      <formula>MonthToDisplayNumber&lt;&gt;MONTH(E3)</formula>
    </cfRule>
  </conditionalFormatting>
  <conditionalFormatting sqref="B3:H3">
    <cfRule type="expression" dxfId="53" priority="7">
      <formula>MonthToDisplayNumber&lt;&gt;MONTH(B3)</formula>
    </cfRule>
  </conditionalFormatting>
  <conditionalFormatting sqref="B3:H3 B13:H13">
    <cfRule type="expression" dxfId="52" priority="8">
      <formula>MonthToDisplayNumber&lt;&gt;MONTH(B3)</formula>
    </cfRule>
  </conditionalFormatting>
  <conditionalFormatting sqref="B11:H11">
    <cfRule type="expression" dxfId="51" priority="9">
      <formula>MonthToDisplayNumber&lt;&gt;MONTH(B11)</formula>
    </cfRule>
  </conditionalFormatting>
  <conditionalFormatting sqref="B9:H9">
    <cfRule type="expression" dxfId="50" priority="10">
      <formula>MonthToDisplayNumber&lt;&gt;MONTH(B9)</formula>
    </cfRule>
  </conditionalFormatting>
  <conditionalFormatting sqref="H3 B5:H5 B7:H7">
    <cfRule type="expression" dxfId="49" priority="11">
      <formula>MonthToDisplayNumber&lt;&gt;MONTH(B3)</formula>
    </cfRule>
  </conditionalFormatting>
  <conditionalFormatting sqref="E3:H3 B5:H5">
    <cfRule type="expression" dxfId="48" priority="12">
      <formula>MonthToDisplayNumber&lt;&gt;MONTH(B3)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19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19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2025-6">
    <tabColor theme="4" tint="-0.499984740745262"/>
    <pageSetUpPr fitToPage="1"/>
  </sheetPr>
  <dimension ref="A1:Z14"/>
  <sheetViews>
    <sheetView showGridLines="0" showRuler="0" zoomScaleNormal="100" workbookViewId="0">
      <pane ySplit="2" topLeftCell="A3" activePane="bottomLeft" state="frozen"/>
      <selection pane="bottomLeft"/>
    </sheetView>
  </sheetViews>
  <sheetFormatPr baseColWidth="10" defaultRowHeight="16"/>
  <cols>
    <col min="1" max="1" width="2.1640625" style="6" customWidth="1"/>
    <col min="2" max="6" width="28.1640625" style="6" customWidth="1"/>
    <col min="7" max="8" width="20.6640625" style="6" customWidth="1"/>
    <col min="9" max="26" width="8.83203125" style="6"/>
  </cols>
  <sheetData>
    <row r="1" spans="1:26" ht="45" customHeight="1">
      <c r="B1" s="1">
        <v>2025</v>
      </c>
      <c r="C1" s="203" t="s">
        <v>0</v>
      </c>
      <c r="D1" s="204"/>
      <c r="E1" s="2" t="s">
        <v>1</v>
      </c>
    </row>
    <row r="2" spans="1:26" ht="19.5" customHeight="1" thickBot="1">
      <c r="B2" s="3">
        <v>45250</v>
      </c>
      <c r="C2" s="3">
        <v>45251</v>
      </c>
      <c r="D2" s="3">
        <v>45252</v>
      </c>
      <c r="E2" s="3">
        <v>45253</v>
      </c>
      <c r="F2" s="3">
        <v>45254</v>
      </c>
      <c r="G2" s="3">
        <v>45255</v>
      </c>
      <c r="H2" s="3">
        <v>45256</v>
      </c>
    </row>
    <row r="3" spans="1:26" ht="24" customHeight="1" thickTop="1">
      <c r="B3" s="4">
        <v>26</v>
      </c>
      <c r="C3" s="4">
        <v>27</v>
      </c>
      <c r="D3" s="4">
        <v>28</v>
      </c>
      <c r="E3" s="5">
        <v>29</v>
      </c>
      <c r="F3" s="5">
        <v>30</v>
      </c>
      <c r="G3" s="5">
        <v>31</v>
      </c>
      <c r="H3" s="5">
        <v>1</v>
      </c>
    </row>
    <row r="4" spans="1:26" s="148" customFormat="1" ht="112.5" customHeight="1">
      <c r="A4" s="6"/>
      <c r="B4" s="7" t="s">
        <v>2</v>
      </c>
      <c r="C4" s="7" t="s">
        <v>264</v>
      </c>
      <c r="D4" s="7" t="s">
        <v>3</v>
      </c>
      <c r="E4" s="7" t="s">
        <v>4</v>
      </c>
      <c r="F4" s="7" t="s">
        <v>265</v>
      </c>
      <c r="G4" s="8" t="s">
        <v>5</v>
      </c>
      <c r="H4" s="8" t="s">
        <v>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customHeight="1"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</row>
    <row r="6" spans="1:26" s="148" customFormat="1" ht="112.5" customHeight="1">
      <c r="A6" s="6"/>
      <c r="B6" s="8" t="s">
        <v>5</v>
      </c>
      <c r="C6" s="10" t="s">
        <v>266</v>
      </c>
      <c r="D6" s="10" t="s">
        <v>6</v>
      </c>
      <c r="E6" s="10" t="s">
        <v>7</v>
      </c>
      <c r="F6" s="10" t="s">
        <v>8</v>
      </c>
      <c r="G6" s="11"/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5" customHeight="1">
      <c r="B7" s="5">
        <v>9</v>
      </c>
      <c r="C7" s="5">
        <v>10</v>
      </c>
      <c r="D7" s="5">
        <v>11</v>
      </c>
      <c r="E7" s="5">
        <v>12</v>
      </c>
      <c r="F7" s="5">
        <v>13</v>
      </c>
      <c r="G7" s="5">
        <v>14</v>
      </c>
      <c r="H7" s="5">
        <v>15</v>
      </c>
    </row>
    <row r="8" spans="1:26" s="148" customFormat="1" ht="112.5" customHeight="1">
      <c r="A8" s="6"/>
      <c r="B8" s="10" t="s">
        <v>9</v>
      </c>
      <c r="C8" s="10" t="s">
        <v>10</v>
      </c>
      <c r="D8" s="10" t="s">
        <v>267</v>
      </c>
      <c r="E8" s="10" t="s">
        <v>268</v>
      </c>
      <c r="F8" s="10" t="s">
        <v>11</v>
      </c>
      <c r="G8" s="12"/>
      <c r="H8" s="1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customHeight="1">
      <c r="B9" s="5">
        <v>16</v>
      </c>
      <c r="C9" s="5">
        <v>17</v>
      </c>
      <c r="D9" s="5">
        <v>18</v>
      </c>
      <c r="E9" s="5">
        <v>19</v>
      </c>
      <c r="F9" s="5">
        <v>20</v>
      </c>
      <c r="G9" s="5">
        <v>21</v>
      </c>
      <c r="H9" s="5">
        <v>22</v>
      </c>
    </row>
    <row r="10" spans="1:26" s="148" customFormat="1" ht="112.5" customHeight="1">
      <c r="A10" s="6"/>
      <c r="B10" s="10" t="s">
        <v>269</v>
      </c>
      <c r="C10" s="13" t="s">
        <v>270</v>
      </c>
      <c r="D10" s="14" t="s">
        <v>6</v>
      </c>
      <c r="E10" s="14" t="s">
        <v>7</v>
      </c>
      <c r="F10" s="14" t="s">
        <v>8</v>
      </c>
      <c r="G10" s="12"/>
      <c r="H10" s="1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customHeight="1">
      <c r="B11" s="5">
        <v>23</v>
      </c>
      <c r="C11" s="5">
        <v>24</v>
      </c>
      <c r="D11" s="5">
        <v>25</v>
      </c>
      <c r="E11" s="4">
        <v>26</v>
      </c>
      <c r="F11" s="4">
        <v>27</v>
      </c>
      <c r="G11" s="4">
        <v>28</v>
      </c>
      <c r="H11" s="4">
        <v>29</v>
      </c>
    </row>
    <row r="12" spans="1:26" s="148" customFormat="1" ht="112.5" customHeight="1">
      <c r="A12" s="6"/>
      <c r="B12" s="14" t="s">
        <v>12</v>
      </c>
      <c r="C12" s="14" t="s">
        <v>2</v>
      </c>
      <c r="D12" s="14" t="s">
        <v>271</v>
      </c>
      <c r="E12" s="14" t="s">
        <v>272</v>
      </c>
      <c r="F12" s="14" t="s">
        <v>4</v>
      </c>
      <c r="G12" s="12"/>
      <c r="H12" s="1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3.25" customHeight="1">
      <c r="B13" s="15">
        <v>30</v>
      </c>
      <c r="C13" s="15">
        <v>1</v>
      </c>
      <c r="D13" s="15">
        <v>2</v>
      </c>
      <c r="E13" s="9">
        <v>3</v>
      </c>
      <c r="F13" s="9">
        <v>4</v>
      </c>
      <c r="G13" s="9">
        <v>5</v>
      </c>
      <c r="H13" s="9">
        <v>6</v>
      </c>
    </row>
    <row r="14" spans="1:26" s="148" customFormat="1" ht="112.5" customHeight="1">
      <c r="A14" s="6"/>
      <c r="B14" s="14" t="s">
        <v>273</v>
      </c>
      <c r="C14" s="16" t="s">
        <v>274</v>
      </c>
      <c r="D14" s="16" t="s">
        <v>6</v>
      </c>
      <c r="E14" s="16" t="s">
        <v>7</v>
      </c>
      <c r="F14" s="16" t="s">
        <v>8</v>
      </c>
      <c r="G14" s="11"/>
      <c r="H14" s="1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mergeCells count="1">
    <mergeCell ref="C1:D1"/>
  </mergeCells>
  <phoneticPr fontId="75" type="noConversion"/>
  <conditionalFormatting sqref="B5:H5">
    <cfRule type="expression" dxfId="47" priority="1">
      <formula>MonthToDisplayNumber&lt;&gt;MONTH(B5)</formula>
    </cfRule>
  </conditionalFormatting>
  <conditionalFormatting sqref="E3:F3">
    <cfRule type="expression" dxfId="46" priority="2">
      <formula>MonthToDisplayNumber&lt;&gt;MONTH(E3)</formula>
    </cfRule>
  </conditionalFormatting>
  <conditionalFormatting sqref="E3:F3">
    <cfRule type="expression" dxfId="45" priority="3">
      <formula>MonthToDisplayNumber&lt;&gt;MONTH(E3)</formula>
    </cfRule>
  </conditionalFormatting>
  <conditionalFormatting sqref="H5">
    <cfRule type="expression" dxfId="44" priority="4">
      <formula>MonthToDisplayNumber&lt;&gt;MONTH(H5)</formula>
    </cfRule>
  </conditionalFormatting>
  <conditionalFormatting sqref="E5:H5">
    <cfRule type="expression" dxfId="43" priority="5">
      <formula>MonthToDisplayNumber&lt;&gt;MONTH(E5)</formula>
    </cfRule>
  </conditionalFormatting>
  <conditionalFormatting sqref="E3:H3">
    <cfRule type="expression" dxfId="42" priority="6">
      <formula>MonthToDisplayNumber&lt;&gt;MONTH(E3)</formula>
    </cfRule>
  </conditionalFormatting>
  <conditionalFormatting sqref="B3:H3">
    <cfRule type="expression" dxfId="41" priority="7">
      <formula>MonthToDisplayNumber&lt;&gt;MONTH(B3)</formula>
    </cfRule>
  </conditionalFormatting>
  <conditionalFormatting sqref="B3:H3 B13:H13">
    <cfRule type="expression" dxfId="40" priority="8">
      <formula>MonthToDisplayNumber&lt;&gt;MONTH(B3)</formula>
    </cfRule>
  </conditionalFormatting>
  <conditionalFormatting sqref="B11:H11">
    <cfRule type="expression" dxfId="39" priority="9">
      <formula>MonthToDisplayNumber&lt;&gt;MONTH(B11)</formula>
    </cfRule>
  </conditionalFormatting>
  <conditionalFormatting sqref="B9:H9">
    <cfRule type="expression" dxfId="38" priority="10">
      <formula>MonthToDisplayNumber&lt;&gt;MONTH(B9)</formula>
    </cfRule>
  </conditionalFormatting>
  <conditionalFormatting sqref="H3 B5:H5 B7:H7">
    <cfRule type="expression" dxfId="37" priority="11">
      <formula>MonthToDisplayNumber&lt;&gt;MONTH(B3)</formula>
    </cfRule>
  </conditionalFormatting>
  <conditionalFormatting sqref="E3:H3 B5:H5">
    <cfRule type="expression" dxfId="36" priority="12">
      <formula>MonthToDisplayNumber&lt;&gt;MONTH(B3)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1A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1A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2025-6">
    <tabColor theme="4" tint="-0.499984740745262"/>
    <pageSetUpPr fitToPage="1"/>
  </sheetPr>
  <dimension ref="A1:Z14"/>
  <sheetViews>
    <sheetView showGridLines="0" showRuler="0" zoomScaleNormal="100" workbookViewId="0">
      <pane ySplit="2" topLeftCell="A3" activePane="bottomLeft" state="frozen"/>
      <selection pane="bottomLeft"/>
    </sheetView>
  </sheetViews>
  <sheetFormatPr baseColWidth="10" defaultRowHeight="16"/>
  <cols>
    <col min="1" max="1" width="2.1640625" style="6" customWidth="1"/>
    <col min="2" max="6" width="28.1640625" style="6" customWidth="1"/>
    <col min="7" max="8" width="20.6640625" style="6" customWidth="1"/>
    <col min="9" max="26" width="8.83203125" style="6"/>
  </cols>
  <sheetData>
    <row r="1" spans="1:26" ht="45" customHeight="1">
      <c r="B1" s="1">
        <v>2025</v>
      </c>
      <c r="C1" s="203" t="s">
        <v>0</v>
      </c>
      <c r="D1" s="204"/>
      <c r="E1" s="2" t="s">
        <v>1</v>
      </c>
    </row>
    <row r="2" spans="1:26" ht="19.5" customHeight="1" thickBot="1">
      <c r="B2" s="3">
        <v>45250</v>
      </c>
      <c r="C2" s="3">
        <v>45251</v>
      </c>
      <c r="D2" s="3">
        <v>45252</v>
      </c>
      <c r="E2" s="3">
        <v>45253</v>
      </c>
      <c r="F2" s="3">
        <v>45254</v>
      </c>
      <c r="G2" s="3">
        <v>45255</v>
      </c>
      <c r="H2" s="3">
        <v>45256</v>
      </c>
    </row>
    <row r="3" spans="1:26" ht="24" customHeight="1" thickTop="1">
      <c r="B3" s="4">
        <v>26</v>
      </c>
      <c r="C3" s="4">
        <v>27</v>
      </c>
      <c r="D3" s="4">
        <v>28</v>
      </c>
      <c r="E3" s="5">
        <v>29</v>
      </c>
      <c r="F3" s="5">
        <v>30</v>
      </c>
      <c r="G3" s="5">
        <v>31</v>
      </c>
      <c r="H3" s="5">
        <v>1</v>
      </c>
    </row>
    <row r="4" spans="1:26" s="148" customFormat="1" ht="112.5" customHeight="1">
      <c r="A4" s="6"/>
      <c r="B4" s="7" t="s">
        <v>2</v>
      </c>
      <c r="C4" s="7" t="s">
        <v>264</v>
      </c>
      <c r="D4" s="7" t="s">
        <v>3</v>
      </c>
      <c r="E4" s="7" t="s">
        <v>4</v>
      </c>
      <c r="F4" s="7" t="s">
        <v>265</v>
      </c>
      <c r="G4" s="8" t="s">
        <v>5</v>
      </c>
      <c r="H4" s="8" t="s">
        <v>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4" customHeight="1"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</row>
    <row r="6" spans="1:26" s="148" customFormat="1" ht="112.5" customHeight="1">
      <c r="A6" s="6"/>
      <c r="B6" s="8" t="s">
        <v>5</v>
      </c>
      <c r="C6" s="10" t="s">
        <v>266</v>
      </c>
      <c r="D6" s="10" t="s">
        <v>6</v>
      </c>
      <c r="E6" s="10" t="s">
        <v>7</v>
      </c>
      <c r="F6" s="10" t="s">
        <v>8</v>
      </c>
      <c r="G6" s="11"/>
      <c r="H6" s="1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5" customHeight="1">
      <c r="B7" s="5">
        <v>9</v>
      </c>
      <c r="C7" s="5">
        <v>10</v>
      </c>
      <c r="D7" s="5">
        <v>11</v>
      </c>
      <c r="E7" s="5">
        <v>12</v>
      </c>
      <c r="F7" s="5">
        <v>13</v>
      </c>
      <c r="G7" s="5">
        <v>14</v>
      </c>
      <c r="H7" s="5">
        <v>15</v>
      </c>
    </row>
    <row r="8" spans="1:26" s="148" customFormat="1" ht="112.5" customHeight="1">
      <c r="A8" s="6"/>
      <c r="B8" s="10" t="s">
        <v>9</v>
      </c>
      <c r="C8" s="10" t="s">
        <v>10</v>
      </c>
      <c r="D8" s="10" t="s">
        <v>267</v>
      </c>
      <c r="E8" s="10" t="s">
        <v>268</v>
      </c>
      <c r="F8" s="10" t="s">
        <v>11</v>
      </c>
      <c r="G8" s="12"/>
      <c r="H8" s="1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4" customHeight="1">
      <c r="B9" s="5">
        <v>16</v>
      </c>
      <c r="C9" s="5">
        <v>17</v>
      </c>
      <c r="D9" s="5">
        <v>18</v>
      </c>
      <c r="E9" s="5">
        <v>19</v>
      </c>
      <c r="F9" s="5">
        <v>20</v>
      </c>
      <c r="G9" s="5">
        <v>21</v>
      </c>
      <c r="H9" s="5">
        <v>22</v>
      </c>
    </row>
    <row r="10" spans="1:26" s="148" customFormat="1" ht="112.5" customHeight="1">
      <c r="A10" s="6"/>
      <c r="B10" s="10" t="s">
        <v>269</v>
      </c>
      <c r="C10" s="13" t="s">
        <v>270</v>
      </c>
      <c r="D10" s="14" t="s">
        <v>6</v>
      </c>
      <c r="E10" s="14" t="s">
        <v>7</v>
      </c>
      <c r="F10" s="14" t="s">
        <v>8</v>
      </c>
      <c r="G10" s="12"/>
      <c r="H10" s="1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4" customHeight="1">
      <c r="B11" s="5">
        <v>23</v>
      </c>
      <c r="C11" s="5">
        <v>24</v>
      </c>
      <c r="D11" s="5">
        <v>25</v>
      </c>
      <c r="E11" s="4">
        <v>26</v>
      </c>
      <c r="F11" s="4">
        <v>27</v>
      </c>
      <c r="G11" s="4">
        <v>28</v>
      </c>
      <c r="H11" s="4">
        <v>29</v>
      </c>
    </row>
    <row r="12" spans="1:26" s="148" customFormat="1" ht="112.5" customHeight="1">
      <c r="A12" s="6"/>
      <c r="B12" s="14" t="s">
        <v>12</v>
      </c>
      <c r="C12" s="14" t="s">
        <v>2</v>
      </c>
      <c r="D12" s="14" t="s">
        <v>271</v>
      </c>
      <c r="E12" s="14" t="s">
        <v>272</v>
      </c>
      <c r="F12" s="14" t="s">
        <v>4</v>
      </c>
      <c r="G12" s="12"/>
      <c r="H12" s="1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3.25" customHeight="1">
      <c r="B13" s="15">
        <v>30</v>
      </c>
      <c r="C13" s="15">
        <v>1</v>
      </c>
      <c r="D13" s="15">
        <v>2</v>
      </c>
      <c r="E13" s="9">
        <v>3</v>
      </c>
      <c r="F13" s="9">
        <v>4</v>
      </c>
      <c r="G13" s="9">
        <v>5</v>
      </c>
      <c r="H13" s="9">
        <v>6</v>
      </c>
    </row>
    <row r="14" spans="1:26" s="148" customFormat="1" ht="112.5" customHeight="1">
      <c r="A14" s="6"/>
      <c r="B14" s="14" t="s">
        <v>273</v>
      </c>
      <c r="C14" s="16" t="s">
        <v>274</v>
      </c>
      <c r="D14" s="16" t="s">
        <v>6</v>
      </c>
      <c r="E14" s="16" t="s">
        <v>7</v>
      </c>
      <c r="F14" s="16" t="s">
        <v>8</v>
      </c>
      <c r="G14" s="11"/>
      <c r="H14" s="1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mergeCells count="1">
    <mergeCell ref="C1:D1"/>
  </mergeCells>
  <phoneticPr fontId="75" type="noConversion"/>
  <conditionalFormatting sqref="B5:H5">
    <cfRule type="expression" dxfId="35" priority="1">
      <formula>MonthToDisplayNumber&lt;&gt;MONTH(B5)</formula>
    </cfRule>
  </conditionalFormatting>
  <conditionalFormatting sqref="E3:F3">
    <cfRule type="expression" dxfId="34" priority="2">
      <formula>MonthToDisplayNumber&lt;&gt;MONTH(E3)</formula>
    </cfRule>
  </conditionalFormatting>
  <conditionalFormatting sqref="E3:F3">
    <cfRule type="expression" dxfId="33" priority="3">
      <formula>MonthToDisplayNumber&lt;&gt;MONTH(E3)</formula>
    </cfRule>
  </conditionalFormatting>
  <conditionalFormatting sqref="H5">
    <cfRule type="expression" dxfId="32" priority="4">
      <formula>MonthToDisplayNumber&lt;&gt;MONTH(H5)</formula>
    </cfRule>
  </conditionalFormatting>
  <conditionalFormatting sqref="E5:H5">
    <cfRule type="expression" dxfId="31" priority="5">
      <formula>MonthToDisplayNumber&lt;&gt;MONTH(E5)</formula>
    </cfRule>
  </conditionalFormatting>
  <conditionalFormatting sqref="E3:H3">
    <cfRule type="expression" dxfId="30" priority="6">
      <formula>MonthToDisplayNumber&lt;&gt;MONTH(E3)</formula>
    </cfRule>
  </conditionalFormatting>
  <conditionalFormatting sqref="B3:H3">
    <cfRule type="expression" dxfId="29" priority="7">
      <formula>MonthToDisplayNumber&lt;&gt;MONTH(B3)</formula>
    </cfRule>
  </conditionalFormatting>
  <conditionalFormatting sqref="B3:H3 B13:H13">
    <cfRule type="expression" dxfId="28" priority="8">
      <formula>MonthToDisplayNumber&lt;&gt;MONTH(B3)</formula>
    </cfRule>
  </conditionalFormatting>
  <conditionalFormatting sqref="B11:H11">
    <cfRule type="expression" dxfId="27" priority="9">
      <formula>MonthToDisplayNumber&lt;&gt;MONTH(B11)</formula>
    </cfRule>
  </conditionalFormatting>
  <conditionalFormatting sqref="B9:H9">
    <cfRule type="expression" dxfId="26" priority="10">
      <formula>MonthToDisplayNumber&lt;&gt;MONTH(B9)</formula>
    </cfRule>
  </conditionalFormatting>
  <conditionalFormatting sqref="H3 B5:H5 B7:H7">
    <cfRule type="expression" dxfId="25" priority="11">
      <formula>MonthToDisplayNumber&lt;&gt;MONTH(B3)</formula>
    </cfRule>
  </conditionalFormatting>
  <conditionalFormatting sqref="E3:H3 B5:H5">
    <cfRule type="expression" dxfId="24" priority="12">
      <formula>MonthToDisplayNumber&lt;&gt;MONTH(B3)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1B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1B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baseColWidth="10" defaultRowHeight="16"/>
  <sheetData/>
  <phoneticPr fontId="7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4" tint="-0.499984740745262"/>
    <pageSetUpPr fitToPage="1"/>
  </sheetPr>
  <dimension ref="A1:Z14"/>
  <sheetViews>
    <sheetView showGridLines="0" showRuler="0" topLeftCell="A4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2:8" ht="45" customHeight="1">
      <c r="B1" s="17">
        <f ca="1">YEAR(TODAY())</f>
        <v>2025</v>
      </c>
      <c r="C1" s="201" t="s">
        <v>67</v>
      </c>
      <c r="D1" s="201"/>
      <c r="E1" s="18" t="s">
        <v>1</v>
      </c>
    </row>
    <row r="2" spans="2:8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8" ht="24" customHeight="1" thickTop="1">
      <c r="B3" s="54">
        <v>26</v>
      </c>
      <c r="C3" s="54">
        <v>27</v>
      </c>
      <c r="D3" s="54">
        <v>28</v>
      </c>
      <c r="E3" s="54">
        <v>29</v>
      </c>
      <c r="F3" s="54">
        <v>30</v>
      </c>
      <c r="G3" s="54">
        <v>31</v>
      </c>
      <c r="H3" s="54">
        <v>1</v>
      </c>
    </row>
    <row r="4" spans="2:8" s="145" customFormat="1" ht="75" customHeight="1">
      <c r="B4" s="32"/>
      <c r="C4" s="32"/>
      <c r="D4" s="32"/>
      <c r="E4" s="32"/>
      <c r="F4" s="32"/>
      <c r="G4" s="32"/>
      <c r="H4" s="32"/>
    </row>
    <row r="5" spans="2:8" ht="24" customHeight="1">
      <c r="B5" s="23">
        <v>2</v>
      </c>
      <c r="C5" s="23">
        <v>3</v>
      </c>
      <c r="D5" s="23">
        <v>4</v>
      </c>
      <c r="E5" s="23">
        <v>5</v>
      </c>
      <c r="F5" s="23">
        <v>6</v>
      </c>
      <c r="G5" s="23">
        <v>7</v>
      </c>
      <c r="H5" s="23">
        <v>8</v>
      </c>
    </row>
    <row r="6" spans="2:8" s="145" customFormat="1" ht="75" customHeight="1">
      <c r="B6" s="32"/>
      <c r="C6" s="32"/>
      <c r="D6" s="32"/>
      <c r="E6" s="32"/>
      <c r="F6" s="32"/>
      <c r="G6" s="32"/>
      <c r="H6" s="32"/>
    </row>
    <row r="7" spans="2:8" ht="24" customHeight="1">
      <c r="B7" s="23">
        <v>9</v>
      </c>
      <c r="C7" s="23">
        <v>10</v>
      </c>
      <c r="D7" s="23">
        <v>11</v>
      </c>
      <c r="E7" s="23">
        <v>12</v>
      </c>
      <c r="F7" s="23">
        <v>13</v>
      </c>
      <c r="G7" s="23">
        <v>14</v>
      </c>
      <c r="H7" s="23">
        <v>15</v>
      </c>
    </row>
    <row r="8" spans="2:8" s="145" customFormat="1" ht="75" customHeight="1">
      <c r="B8" s="32"/>
      <c r="C8" s="32"/>
      <c r="D8" s="32"/>
      <c r="E8" s="32"/>
      <c r="F8" s="32"/>
      <c r="G8" s="32"/>
      <c r="H8" s="32"/>
    </row>
    <row r="9" spans="2:8" ht="24" customHeight="1">
      <c r="B9" s="23">
        <v>16</v>
      </c>
      <c r="C9" s="23">
        <v>17</v>
      </c>
      <c r="D9" s="23">
        <v>18</v>
      </c>
      <c r="E9" s="23">
        <v>19</v>
      </c>
      <c r="F9" s="23">
        <v>20</v>
      </c>
      <c r="G9" s="23">
        <v>21</v>
      </c>
      <c r="H9" s="23">
        <v>22</v>
      </c>
    </row>
    <row r="10" spans="2:8" s="145" customFormat="1" ht="75" customHeight="1">
      <c r="B10" s="32"/>
      <c r="C10" s="32"/>
      <c r="D10" s="32"/>
      <c r="E10" s="32"/>
      <c r="F10" s="32"/>
      <c r="G10" s="32"/>
      <c r="H10" s="32"/>
    </row>
    <row r="11" spans="2:8" ht="24" customHeight="1">
      <c r="B11" s="23">
        <v>23</v>
      </c>
      <c r="C11" s="23">
        <v>24</v>
      </c>
      <c r="D11" s="23">
        <v>25</v>
      </c>
      <c r="E11" s="23">
        <v>26</v>
      </c>
      <c r="F11" s="23">
        <v>27</v>
      </c>
      <c r="G11" s="23">
        <v>28</v>
      </c>
      <c r="H11" s="23">
        <v>29</v>
      </c>
    </row>
    <row r="12" spans="2:8" s="145" customFormat="1" ht="82.75" customHeight="1">
      <c r="B12" s="72"/>
      <c r="C12" s="72"/>
      <c r="D12" s="72"/>
      <c r="E12" s="72"/>
      <c r="F12" s="72"/>
      <c r="G12" s="72"/>
      <c r="H12" s="72"/>
    </row>
    <row r="13" spans="2:8">
      <c r="B13" s="23">
        <v>30</v>
      </c>
      <c r="C13" s="23">
        <v>1</v>
      </c>
      <c r="D13" s="23">
        <v>2</v>
      </c>
      <c r="E13" s="23">
        <v>3</v>
      </c>
      <c r="F13" s="23">
        <v>4</v>
      </c>
      <c r="G13" s="23">
        <v>5</v>
      </c>
      <c r="H13" s="23">
        <v>6</v>
      </c>
    </row>
    <row r="14" spans="2:8" ht="82.75" customHeight="1">
      <c r="B14" s="32"/>
      <c r="C14" s="32"/>
      <c r="D14" s="32"/>
      <c r="E14" s="32"/>
      <c r="F14" s="32"/>
      <c r="G14" s="32"/>
      <c r="H14" s="32"/>
    </row>
  </sheetData>
  <mergeCells count="1">
    <mergeCell ref="C1:D1"/>
  </mergeCells>
  <phoneticPr fontId="75" type="noConversion"/>
  <conditionalFormatting sqref="B13:H13">
    <cfRule type="expression" dxfId="23" priority="1">
      <formula>MonthToDisplayNumber&lt;&gt;MONTH(B13)</formula>
    </cfRule>
  </conditionalFormatting>
  <conditionalFormatting sqref="B3:H3">
    <cfRule type="expression" dxfId="22" priority="2">
      <formula>MonthToDisplayNumber&lt;&gt;MONTH(B3)</formula>
    </cfRule>
  </conditionalFormatting>
  <conditionalFormatting sqref="B11:H11">
    <cfRule type="expression" dxfId="21" priority="3">
      <formula>MonthToDisplayNumber&lt;&gt;MONTH(B11)</formula>
    </cfRule>
  </conditionalFormatting>
  <conditionalFormatting sqref="B9:H9">
    <cfRule type="expression" dxfId="20" priority="4">
      <formula>MonthToDisplayNumber&lt;&gt;MONTH(B9)</formula>
    </cfRule>
  </conditionalFormatting>
  <conditionalFormatting sqref="B7:H7">
    <cfRule type="expression" dxfId="19" priority="5">
      <formula>MonthToDisplayNumber&lt;&gt;MONTH(B7)</formula>
    </cfRule>
  </conditionalFormatting>
  <conditionalFormatting sqref="B5:H5">
    <cfRule type="expression" dxfId="18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1D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1D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4" tint="-0.499984740745262"/>
    <pageSetUpPr fitToPage="1"/>
  </sheetPr>
  <dimension ref="A1:Z14"/>
  <sheetViews>
    <sheetView showGridLines="0" showRuler="0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2:8" ht="45" customHeight="1">
      <c r="B1" s="17">
        <f ca="1">YEAR(TODAY())</f>
        <v>2025</v>
      </c>
      <c r="C1" s="201" t="s">
        <v>163</v>
      </c>
      <c r="D1" s="201"/>
      <c r="E1" s="18" t="s">
        <v>1</v>
      </c>
    </row>
    <row r="2" spans="2:8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8" ht="24" customHeight="1" thickTop="1">
      <c r="B3" s="54">
        <v>30</v>
      </c>
      <c r="C3" s="54">
        <v>1</v>
      </c>
      <c r="D3" s="54">
        <v>2</v>
      </c>
      <c r="E3" s="54">
        <v>3</v>
      </c>
      <c r="F3" s="54">
        <v>4</v>
      </c>
      <c r="G3" s="54">
        <v>5</v>
      </c>
      <c r="H3" s="54">
        <v>6</v>
      </c>
    </row>
    <row r="4" spans="2:8" s="145" customFormat="1" ht="75" customHeight="1">
      <c r="B4" s="32"/>
      <c r="C4" s="32"/>
      <c r="D4" s="32"/>
      <c r="E4" s="32"/>
      <c r="F4" s="32"/>
      <c r="G4" s="32"/>
      <c r="H4" s="32"/>
    </row>
    <row r="5" spans="2:8" ht="24" customHeight="1">
      <c r="B5" s="23">
        <v>7</v>
      </c>
      <c r="C5" s="23">
        <v>8</v>
      </c>
      <c r="D5" s="23">
        <v>9</v>
      </c>
      <c r="E5" s="23">
        <v>10</v>
      </c>
      <c r="F5" s="23">
        <v>11</v>
      </c>
      <c r="G5" s="23">
        <v>12</v>
      </c>
      <c r="H5" s="23">
        <v>13</v>
      </c>
    </row>
    <row r="6" spans="2:8" s="145" customFormat="1" ht="75" customHeight="1">
      <c r="B6" s="32"/>
      <c r="C6" s="32"/>
      <c r="D6" s="32"/>
      <c r="E6" s="32"/>
      <c r="F6" s="32"/>
      <c r="G6" s="32"/>
      <c r="H6" s="32"/>
    </row>
    <row r="7" spans="2:8" ht="24" customHeight="1">
      <c r="B7" s="23">
        <v>14</v>
      </c>
      <c r="C7" s="23">
        <v>15</v>
      </c>
      <c r="D7" s="23">
        <v>16</v>
      </c>
      <c r="E7" s="23">
        <v>17</v>
      </c>
      <c r="F7" s="23">
        <v>18</v>
      </c>
      <c r="G7" s="23">
        <v>19</v>
      </c>
      <c r="H7" s="23">
        <v>20</v>
      </c>
    </row>
    <row r="8" spans="2:8" s="145" customFormat="1" ht="75" customHeight="1">
      <c r="B8" s="32"/>
      <c r="C8" s="32"/>
      <c r="D8" s="32"/>
      <c r="E8" s="32"/>
      <c r="F8" s="32"/>
      <c r="G8" s="32"/>
      <c r="H8" s="32"/>
    </row>
    <row r="9" spans="2:8" ht="24" customHeight="1">
      <c r="B9" s="23">
        <v>21</v>
      </c>
      <c r="C9" s="23">
        <v>22</v>
      </c>
      <c r="D9" s="23">
        <v>23</v>
      </c>
      <c r="E9" s="23">
        <v>24</v>
      </c>
      <c r="F9" s="23">
        <v>25</v>
      </c>
      <c r="G9" s="23">
        <v>26</v>
      </c>
      <c r="H9" s="23">
        <v>27</v>
      </c>
    </row>
    <row r="10" spans="2:8" s="145" customFormat="1" ht="75" customHeight="1">
      <c r="B10" s="32"/>
      <c r="C10" s="32"/>
      <c r="D10" s="32"/>
      <c r="E10" s="32"/>
      <c r="F10" s="32"/>
      <c r="G10" s="32"/>
      <c r="H10" s="32"/>
    </row>
    <row r="11" spans="2:8" ht="24" customHeight="1">
      <c r="B11" s="23">
        <v>28</v>
      </c>
      <c r="C11" s="23">
        <v>29</v>
      </c>
      <c r="D11" s="23">
        <v>30</v>
      </c>
      <c r="E11" s="23">
        <v>31</v>
      </c>
      <c r="F11" s="23">
        <v>1</v>
      </c>
      <c r="G11" s="23">
        <v>2</v>
      </c>
      <c r="H11" s="23">
        <v>3</v>
      </c>
    </row>
    <row r="12" spans="2:8" s="145" customFormat="1" ht="75" customHeight="1">
      <c r="B12" s="32"/>
      <c r="C12" s="32"/>
      <c r="D12" s="32"/>
      <c r="E12" s="32"/>
      <c r="F12" s="32"/>
      <c r="G12" s="32"/>
      <c r="H12" s="32"/>
    </row>
    <row r="13" spans="2:8" ht="23.25" customHeight="1">
      <c r="B13" s="23">
        <v>4</v>
      </c>
      <c r="C13" s="23">
        <v>5</v>
      </c>
      <c r="D13" s="23">
        <v>6</v>
      </c>
      <c r="E13" s="23">
        <v>7</v>
      </c>
      <c r="F13" s="23">
        <v>8</v>
      </c>
      <c r="G13" s="23">
        <v>9</v>
      </c>
      <c r="H13" s="23">
        <v>10</v>
      </c>
    </row>
    <row r="14" spans="2:8" s="145" customFormat="1" ht="85.25" customHeight="1">
      <c r="B14" s="32"/>
      <c r="C14" s="32"/>
      <c r="D14" s="32"/>
      <c r="E14" s="32"/>
      <c r="F14" s="32"/>
      <c r="G14" s="32"/>
      <c r="H14" s="32"/>
    </row>
  </sheetData>
  <mergeCells count="1">
    <mergeCell ref="C1:D1"/>
  </mergeCells>
  <phoneticPr fontId="75" type="noConversion"/>
  <conditionalFormatting sqref="B13:H13">
    <cfRule type="expression" dxfId="17" priority="1">
      <formula>MonthToDisplayNumber&lt;&gt;MONTH(B13)</formula>
    </cfRule>
  </conditionalFormatting>
  <conditionalFormatting sqref="B3:H3">
    <cfRule type="expression" dxfId="16" priority="2">
      <formula>MonthToDisplayNumber&lt;&gt;MONTH(B3)</formula>
    </cfRule>
  </conditionalFormatting>
  <conditionalFormatting sqref="B11:H11">
    <cfRule type="expression" dxfId="15" priority="3">
      <formula>MonthToDisplayNumber&lt;&gt;MONTH(B11)</formula>
    </cfRule>
  </conditionalFormatting>
  <conditionalFormatting sqref="B9:H9">
    <cfRule type="expression" dxfId="14" priority="4">
      <formula>MonthToDisplayNumber&lt;&gt;MONTH(B9)</formula>
    </cfRule>
  </conditionalFormatting>
  <conditionalFormatting sqref="B7:H7">
    <cfRule type="expression" dxfId="13" priority="5">
      <formula>MonthToDisplayNumber&lt;&gt;MONTH(B7)</formula>
    </cfRule>
  </conditionalFormatting>
  <conditionalFormatting sqref="B5:H5">
    <cfRule type="expression" dxfId="12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1E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1E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4" tint="-0.499984740745262"/>
    <pageSetUpPr fitToPage="1"/>
  </sheetPr>
  <dimension ref="A1:Z14"/>
  <sheetViews>
    <sheetView showGridLines="0" showRuler="0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2:8" ht="45" customHeight="1">
      <c r="B1" s="17">
        <f ca="1">YEAR(TODAY())</f>
        <v>2025</v>
      </c>
      <c r="C1" s="201" t="s">
        <v>83</v>
      </c>
      <c r="D1" s="201"/>
      <c r="E1" s="18" t="s">
        <v>1</v>
      </c>
    </row>
    <row r="2" spans="2:8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8" ht="24" customHeight="1" thickTop="1">
      <c r="B3" s="54">
        <v>28</v>
      </c>
      <c r="C3" s="54">
        <v>29</v>
      </c>
      <c r="D3" s="54">
        <v>30</v>
      </c>
      <c r="E3" s="54">
        <v>31</v>
      </c>
      <c r="F3" s="54">
        <v>1</v>
      </c>
      <c r="G3" s="54">
        <v>2</v>
      </c>
      <c r="H3" s="54">
        <v>3</v>
      </c>
    </row>
    <row r="4" spans="2:8" s="145" customFormat="1" ht="75" customHeight="1">
      <c r="B4" s="32"/>
      <c r="C4" s="32"/>
      <c r="D4" s="32"/>
      <c r="E4" s="32"/>
      <c r="F4" s="32"/>
      <c r="G4" s="32"/>
      <c r="H4" s="32"/>
    </row>
    <row r="5" spans="2:8" ht="24" customHeight="1">
      <c r="B5" s="23">
        <v>4</v>
      </c>
      <c r="C5" s="23">
        <v>5</v>
      </c>
      <c r="D5" s="23">
        <v>6</v>
      </c>
      <c r="E5" s="23">
        <v>7</v>
      </c>
      <c r="F5" s="23">
        <v>8</v>
      </c>
      <c r="G5" s="23">
        <v>9</v>
      </c>
      <c r="H5" s="23">
        <v>10</v>
      </c>
    </row>
    <row r="6" spans="2:8" s="145" customFormat="1" ht="75" customHeight="1">
      <c r="B6" s="32"/>
      <c r="C6" s="32"/>
      <c r="D6" s="32"/>
      <c r="E6" s="32"/>
      <c r="F6" s="32"/>
      <c r="G6" s="32"/>
      <c r="H6" s="32"/>
    </row>
    <row r="7" spans="2:8" ht="24" customHeight="1">
      <c r="B7" s="23">
        <v>11</v>
      </c>
      <c r="C7" s="23">
        <v>12</v>
      </c>
      <c r="D7" s="23">
        <v>13</v>
      </c>
      <c r="E7" s="23">
        <v>14</v>
      </c>
      <c r="F7" s="23">
        <v>15</v>
      </c>
      <c r="G7" s="23">
        <v>16</v>
      </c>
      <c r="H7" s="23">
        <v>17</v>
      </c>
    </row>
    <row r="8" spans="2:8" s="145" customFormat="1" ht="75" customHeight="1">
      <c r="B8" s="32"/>
      <c r="C8" s="32"/>
      <c r="D8" s="32"/>
      <c r="E8" s="32"/>
      <c r="F8" s="32"/>
      <c r="G8" s="32"/>
      <c r="H8" s="32"/>
    </row>
    <row r="9" spans="2:8" ht="24" customHeight="1">
      <c r="B9" s="23">
        <v>18</v>
      </c>
      <c r="C9" s="23">
        <v>19</v>
      </c>
      <c r="D9" s="23">
        <v>20</v>
      </c>
      <c r="E9" s="23">
        <v>21</v>
      </c>
      <c r="F9" s="23">
        <v>22</v>
      </c>
      <c r="G9" s="23">
        <v>23</v>
      </c>
      <c r="H9" s="23">
        <v>24</v>
      </c>
    </row>
    <row r="10" spans="2:8" s="145" customFormat="1" ht="75" customHeight="1">
      <c r="B10" s="32"/>
      <c r="C10" s="32"/>
      <c r="D10" s="32"/>
      <c r="E10" s="32"/>
      <c r="F10" s="32"/>
      <c r="G10" s="32"/>
      <c r="H10" s="32"/>
    </row>
    <row r="11" spans="2:8" ht="24" customHeight="1">
      <c r="B11" s="23">
        <v>25</v>
      </c>
      <c r="C11" s="23">
        <v>26</v>
      </c>
      <c r="D11" s="23">
        <v>27</v>
      </c>
      <c r="E11" s="23">
        <v>28</v>
      </c>
      <c r="F11" s="23">
        <v>29</v>
      </c>
      <c r="G11" s="23">
        <v>30</v>
      </c>
      <c r="H11" s="23">
        <v>1</v>
      </c>
    </row>
    <row r="12" spans="2:8" s="145" customFormat="1" ht="75" customHeight="1">
      <c r="B12" s="32"/>
      <c r="C12" s="32"/>
      <c r="D12" s="32"/>
      <c r="E12" s="32"/>
      <c r="F12" s="32"/>
      <c r="G12" s="32"/>
      <c r="H12" s="32"/>
    </row>
    <row r="13" spans="2:8" ht="23.25" customHeight="1">
      <c r="B13" s="23">
        <v>2</v>
      </c>
      <c r="C13" s="23">
        <v>3</v>
      </c>
      <c r="D13" s="23">
        <v>4</v>
      </c>
      <c r="E13" s="23">
        <v>5</v>
      </c>
      <c r="F13" s="23">
        <v>6</v>
      </c>
      <c r="G13" s="23">
        <v>7</v>
      </c>
      <c r="H13" s="23">
        <v>8</v>
      </c>
    </row>
    <row r="14" spans="2:8" s="145" customFormat="1" ht="75" customHeight="1">
      <c r="B14" s="32"/>
      <c r="C14" s="32"/>
      <c r="D14" s="32"/>
      <c r="E14" s="32"/>
      <c r="F14" s="32"/>
      <c r="G14" s="32"/>
      <c r="H14" s="32"/>
    </row>
  </sheetData>
  <mergeCells count="1">
    <mergeCell ref="C1:D1"/>
  </mergeCells>
  <phoneticPr fontId="75" type="noConversion"/>
  <conditionalFormatting sqref="B3:H3">
    <cfRule type="expression" dxfId="11" priority="1">
      <formula>MonthToDisplayNumber&lt;&gt;MONTH(B3)</formula>
    </cfRule>
  </conditionalFormatting>
  <conditionalFormatting sqref="B13:H13">
    <cfRule type="expression" dxfId="10" priority="2">
      <formula>MonthToDisplayNumber&lt;&gt;MONTH(B13)</formula>
    </cfRule>
  </conditionalFormatting>
  <conditionalFormatting sqref="B11:H11">
    <cfRule type="expression" dxfId="9" priority="3">
      <formula>MonthToDisplayNumber&lt;&gt;MONTH(B11)</formula>
    </cfRule>
  </conditionalFormatting>
  <conditionalFormatting sqref="B9:H9">
    <cfRule type="expression" dxfId="8" priority="4">
      <formula>MonthToDisplayNumber&lt;&gt;MONTH(B9)</formula>
    </cfRule>
  </conditionalFormatting>
  <conditionalFormatting sqref="B7:H7">
    <cfRule type="expression" dxfId="7" priority="5">
      <formula>MonthToDisplayNumber&lt;&gt;MONTH(B7)</formula>
    </cfRule>
  </conditionalFormatting>
  <conditionalFormatting sqref="B5:H5">
    <cfRule type="expression" dxfId="6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1F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1F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4" tint="-0.499984740745262"/>
    <pageSetUpPr fitToPage="1"/>
  </sheetPr>
  <dimension ref="A1:Z14"/>
  <sheetViews>
    <sheetView showGridLines="0" showRuler="0" zoomScaleNormal="100" workbookViewId="0"/>
  </sheetViews>
  <sheetFormatPr baseColWidth="10" defaultColWidth="8.83203125" defaultRowHeight="16"/>
  <cols>
    <col min="1" max="1" width="2.1640625" style="146" customWidth="1"/>
    <col min="2" max="8" width="20.6640625" style="146" customWidth="1"/>
    <col min="9" max="26" width="8.83203125" style="146"/>
  </cols>
  <sheetData>
    <row r="1" spans="2:8" ht="45" customHeight="1">
      <c r="B1" s="17">
        <f ca="1">YEAR(TODAY())</f>
        <v>2025</v>
      </c>
      <c r="C1" s="201" t="s">
        <v>65</v>
      </c>
      <c r="D1" s="201"/>
      <c r="E1" s="18" t="s">
        <v>1</v>
      </c>
    </row>
    <row r="2" spans="2:8" ht="19.5" customHeight="1" thickBot="1">
      <c r="B2" s="28" t="s">
        <v>1</v>
      </c>
      <c r="C2" s="28" t="s">
        <v>26</v>
      </c>
      <c r="D2" s="28" t="s">
        <v>27</v>
      </c>
      <c r="E2" s="28" t="s">
        <v>28</v>
      </c>
      <c r="F2" s="28" t="s">
        <v>29</v>
      </c>
      <c r="G2" s="28" t="s">
        <v>30</v>
      </c>
      <c r="H2" s="28" t="s">
        <v>31</v>
      </c>
    </row>
    <row r="3" spans="2:8" ht="24" customHeight="1">
      <c r="B3" s="23">
        <v>25</v>
      </c>
      <c r="C3" s="23">
        <v>26</v>
      </c>
      <c r="D3" s="23">
        <v>27</v>
      </c>
      <c r="E3" s="23">
        <v>28</v>
      </c>
      <c r="F3" s="23">
        <v>29</v>
      </c>
      <c r="G3" s="23">
        <v>30</v>
      </c>
      <c r="H3" s="23">
        <v>1</v>
      </c>
    </row>
    <row r="4" spans="2:8" s="145" customFormat="1" ht="75" customHeight="1">
      <c r="B4" s="32"/>
      <c r="C4" s="32"/>
      <c r="D4" s="32"/>
      <c r="E4" s="32"/>
      <c r="F4" s="32"/>
      <c r="G4" s="32"/>
      <c r="H4" s="32"/>
    </row>
    <row r="5" spans="2:8" ht="24" customHeight="1">
      <c r="B5" s="23">
        <v>2</v>
      </c>
      <c r="C5" s="23">
        <v>3</v>
      </c>
      <c r="D5" s="23">
        <v>4</v>
      </c>
      <c r="E5" s="23">
        <v>5</v>
      </c>
      <c r="F5" s="23">
        <v>6</v>
      </c>
      <c r="G5" s="23">
        <v>7</v>
      </c>
      <c r="H5" s="23">
        <v>8</v>
      </c>
    </row>
    <row r="6" spans="2:8" s="145" customFormat="1" ht="75" customHeight="1">
      <c r="B6" s="32"/>
      <c r="C6" s="32"/>
      <c r="D6" s="32"/>
      <c r="E6" s="32"/>
      <c r="F6" s="32"/>
      <c r="G6" s="32"/>
      <c r="H6" s="32"/>
    </row>
    <row r="7" spans="2:8" ht="24" customHeight="1">
      <c r="B7" s="23">
        <v>9</v>
      </c>
      <c r="C7" s="23">
        <v>10</v>
      </c>
      <c r="D7" s="23">
        <v>11</v>
      </c>
      <c r="E7" s="23">
        <v>12</v>
      </c>
      <c r="F7" s="23">
        <v>13</v>
      </c>
      <c r="G7" s="23">
        <v>14</v>
      </c>
      <c r="H7" s="23">
        <v>15</v>
      </c>
    </row>
    <row r="8" spans="2:8" s="145" customFormat="1" ht="75" customHeight="1">
      <c r="B8" s="32"/>
      <c r="C8" s="32"/>
      <c r="D8" s="32"/>
      <c r="E8" s="32"/>
      <c r="F8" s="32"/>
      <c r="G8" s="32"/>
      <c r="H8" s="32"/>
    </row>
    <row r="9" spans="2:8" ht="24" customHeight="1">
      <c r="B9" s="23">
        <v>16</v>
      </c>
      <c r="C9" s="23">
        <v>17</v>
      </c>
      <c r="D9" s="23">
        <v>18</v>
      </c>
      <c r="E9" s="23">
        <v>19</v>
      </c>
      <c r="F9" s="23">
        <v>20</v>
      </c>
      <c r="G9" s="23">
        <v>21</v>
      </c>
      <c r="H9" s="23">
        <v>22</v>
      </c>
    </row>
    <row r="10" spans="2:8" s="145" customFormat="1" ht="75" customHeight="1">
      <c r="B10" s="32"/>
      <c r="C10" s="32"/>
      <c r="D10" s="32"/>
      <c r="E10" s="32"/>
      <c r="F10" s="32"/>
      <c r="G10" s="32"/>
      <c r="H10" s="32"/>
    </row>
    <row r="11" spans="2:8" ht="24" customHeight="1">
      <c r="B11" s="23">
        <v>23</v>
      </c>
      <c r="C11" s="23">
        <v>24</v>
      </c>
      <c r="D11" s="23">
        <v>25</v>
      </c>
      <c r="E11" s="23">
        <v>26</v>
      </c>
      <c r="F11" s="23">
        <v>27</v>
      </c>
      <c r="G11" s="23">
        <v>28</v>
      </c>
      <c r="H11" s="23">
        <v>29</v>
      </c>
    </row>
    <row r="12" spans="2:8" s="145" customFormat="1" ht="75" customHeight="1">
      <c r="B12" s="32"/>
      <c r="C12" s="32"/>
      <c r="D12" s="32"/>
      <c r="E12" s="32"/>
      <c r="F12" s="32"/>
      <c r="G12" s="32"/>
      <c r="H12" s="32"/>
    </row>
    <row r="13" spans="2:8">
      <c r="B13" s="23">
        <v>30</v>
      </c>
      <c r="C13" s="23">
        <v>31</v>
      </c>
      <c r="D13" s="23">
        <v>1</v>
      </c>
      <c r="E13" s="23">
        <v>2</v>
      </c>
      <c r="F13" s="23">
        <v>3</v>
      </c>
      <c r="G13" s="23">
        <v>4</v>
      </c>
      <c r="H13" s="23">
        <v>5</v>
      </c>
    </row>
    <row r="14" spans="2:8" ht="90.5" customHeight="1">
      <c r="B14" s="32"/>
      <c r="C14" s="32"/>
      <c r="D14" s="32"/>
      <c r="E14" s="32"/>
      <c r="F14" s="32"/>
      <c r="G14" s="32"/>
      <c r="H14" s="32"/>
    </row>
  </sheetData>
  <mergeCells count="1">
    <mergeCell ref="C1:D1"/>
  </mergeCells>
  <phoneticPr fontId="75" type="noConversion"/>
  <conditionalFormatting sqref="B13:H13">
    <cfRule type="expression" dxfId="5" priority="1">
      <formula>MonthToDisplayNumber&lt;&gt;MONTH(B13)</formula>
    </cfRule>
  </conditionalFormatting>
  <conditionalFormatting sqref="B3:H3">
    <cfRule type="expression" dxfId="4" priority="2">
      <formula>MonthToDisplayNumber&lt;&gt;MONTH(B3)</formula>
    </cfRule>
  </conditionalFormatting>
  <conditionalFormatting sqref="B11:H11">
    <cfRule type="expression" dxfId="3" priority="3">
      <formula>MonthToDisplayNumber&lt;&gt;MONTH(B11)</formula>
    </cfRule>
  </conditionalFormatting>
  <conditionalFormatting sqref="B9:H9">
    <cfRule type="expression" dxfId="2" priority="4">
      <formula>MonthToDisplayNumber&lt;&gt;MONTH(B9)</formula>
    </cfRule>
  </conditionalFormatting>
  <conditionalFormatting sqref="B7:H7">
    <cfRule type="expression" dxfId="1" priority="5">
      <formula>MonthToDisplayNumber&lt;&gt;MONTH(B7)</formula>
    </cfRule>
  </conditionalFormatting>
  <conditionalFormatting sqref="B5:H5">
    <cfRule type="expression" dxfId="0" priority="6">
      <formula>MonthToDisplayNumber&lt;&gt;MONTH(B5)</formula>
    </cfRule>
  </conditionalFormatting>
  <dataValidations count="2">
    <dataValidation type="list" allowBlank="1" showInputMessage="1" showErrorMessage="1" error="此日历仅可使用有效的月份名称。请键入完整的月份名称或从列表中进行选择。选择“重试”，按 Alt+向下键，然后按 Enter 从列表中进行选择。选择“取消”可退出单元格" prompt="选择该日历的月份。键入完整的月份名称或按 Alt+向下键浏览列表，然后按 Enter 选择月份" sqref="C1:D1" xr:uid="{00000000-0002-0000-2000-000000000000}">
      <formula1>"一月,二月,三月,四月,五月,六月,七月,八月,九月,十月,十一月,十二月"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选择该日历一周的开始日期。键入完整的工作日名称或按 Alt+向下键浏览列表，然后按 Enter 选择工作日" sqref="E1" xr:uid="{00000000-0002-0000-2000-000002000000}">
      <formula1>"星期一,星期二,星期三,星期四,星期五,星期六,星期日"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1</vt:i4>
      </vt:variant>
    </vt:vector>
  </HeadingPairs>
  <TitlesOfParts>
    <vt:vector size="28" baseType="lpstr">
      <vt:lpstr>Definition of Milestones（2023）</vt:lpstr>
      <vt:lpstr>2024 Milestones</vt:lpstr>
      <vt:lpstr>6月迭代日历</vt:lpstr>
      <vt:lpstr>7月迭代日历</vt:lpstr>
      <vt:lpstr>8月迭代日历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 </vt:lpstr>
      <vt:lpstr>2024年10月 </vt:lpstr>
      <vt:lpstr>2024年11月</vt:lpstr>
      <vt:lpstr>2026-01</vt:lpstr>
      <vt:lpstr>2026-02</vt:lpstr>
      <vt:lpstr>2025-6(副本)</vt:lpstr>
      <vt:lpstr>2025-6(副本1)</vt:lpstr>
      <vt:lpstr>2025-6(副本2)</vt:lpstr>
      <vt:lpstr>2025-6(副本3)</vt:lpstr>
      <vt:lpstr>工作表1</vt:lpstr>
      <vt:lpstr>2024年9月 (2)</vt:lpstr>
      <vt:lpstr>2024年10月 (2)</vt:lpstr>
      <vt:lpstr>2024年11月 (2)</vt:lpstr>
      <vt:lpstr>2024年12月 (2)</vt:lpstr>
      <vt:lpstr>notifyRange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buoge</cp:lastModifiedBy>
  <dcterms:created xsi:type="dcterms:W3CDTF">2025-12-26T10:00:52Z</dcterms:created>
  <dcterms:modified xsi:type="dcterms:W3CDTF">2025-12-26T03:22:21Z</dcterms:modified>
</cp:coreProperties>
</file>